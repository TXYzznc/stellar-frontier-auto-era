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1925" tabRatio="600" firstSheet="0" activeTab="1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开发任务" sheetId="2" state="visible" r:id="rId2"/>
    <sheet xmlns:r="http://schemas.openxmlformats.org/officeDocument/2006/relationships" name="里程碑" sheetId="3" state="visible" r:id="rId3"/>
    <sheet xmlns:r="http://schemas.openxmlformats.org/officeDocument/2006/relationships" name="工作流" sheetId="4" state="visible" r:id="rId4"/>
    <sheet xmlns:r="http://schemas.openxmlformats.org/officeDocument/2006/relationships" name="统计概览" sheetId="5" state="visible" r:id="rId5"/>
    <sheet xmlns:r="http://schemas.openxmlformats.org/officeDocument/2006/relationships" name="风险" sheetId="6" state="visible" r:id="rId6"/>
    <sheet xmlns:r="http://schemas.openxmlformats.org/officeDocument/2006/relationships" name="美术并行路线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7">
    <font>
      <name val="Calibri"/>
      <charset val="134"/>
      <color theme="1"/>
      <sz val="11"/>
    </font>
    <font>
      <name val="Calibri"/>
      <charset val="134"/>
      <b val="1"/>
      <color rgb="FFFFFFFF"/>
      <sz val="16"/>
    </font>
    <font>
      <name val="Calibri"/>
      <charset val="134"/>
      <color rgb="FF1F1F1F"/>
      <sz val="11"/>
    </font>
    <font>
      <name val="Calibri"/>
      <charset val="134"/>
      <b val="1"/>
      <color rgb="FFFFFFFF"/>
      <sz val="11"/>
    </font>
    <font>
      <name val="Calibri"/>
      <charset val="134"/>
      <color rgb="FF1F1F1F"/>
      <sz val="10"/>
    </font>
    <font>
      <name val="Calibri"/>
      <charset val="134"/>
      <b val="1"/>
      <color rgb="FF1F1F1F"/>
      <sz val="10"/>
    </font>
    <font>
      <name val="宋体"/>
      <charset val="134"/>
      <color rgb="FF1F1F1F"/>
      <sz val="10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7FA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  <border>
      <left/>
      <right/>
      <top/>
      <bottom style="thin">
        <color rgb="FFD9E1F2"/>
      </bottom>
      <diagonal/>
    </border>
    <border>
      <left/>
      <right/>
      <top style="thin">
        <color rgb="FFD9E1F2"/>
      </top>
      <bottom style="thin">
        <color rgb="FFD9E1F2"/>
      </bottom>
      <diagonal/>
    </border>
    <border>
      <left/>
      <right/>
      <top style="thin">
        <color rgb="FFD9E1F2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7" fillId="0" borderId="0" applyAlignment="1">
      <alignment vertical="center"/>
    </xf>
    <xf numFmtId="44" fontId="7" fillId="0" borderId="0" applyAlignment="1">
      <alignment vertical="center"/>
    </xf>
    <xf numFmtId="9" fontId="7" fillId="0" borderId="0" applyAlignment="1">
      <alignment vertical="center"/>
    </xf>
    <xf numFmtId="41" fontId="7" fillId="0" borderId="0" applyAlignment="1">
      <alignment vertical="center"/>
    </xf>
    <xf numFmtId="42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7" fillId="7" borderId="7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8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5" fillId="0" borderId="0" applyAlignment="1">
      <alignment vertical="center"/>
    </xf>
    <xf numFmtId="0" fontId="16" fillId="8" borderId="10" applyAlignment="1">
      <alignment vertical="center"/>
    </xf>
    <xf numFmtId="0" fontId="17" fillId="9" borderId="11" applyAlignment="1">
      <alignment vertical="center"/>
    </xf>
    <xf numFmtId="0" fontId="18" fillId="9" borderId="10" applyAlignment="1">
      <alignment vertical="center"/>
    </xf>
    <xf numFmtId="0" fontId="19" fillId="10" borderId="12" applyAlignment="1">
      <alignment vertical="center"/>
    </xf>
    <xf numFmtId="0" fontId="20" fillId="0" borderId="13" applyAlignment="1">
      <alignment vertical="center"/>
    </xf>
    <xf numFmtId="0" fontId="21" fillId="0" borderId="14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15" borderId="0" applyAlignment="1">
      <alignment vertical="center"/>
    </xf>
    <xf numFmtId="0" fontId="26" fillId="16" borderId="0" applyAlignment="1">
      <alignment vertical="center"/>
    </xf>
    <xf numFmtId="0" fontId="25" fillId="17" borderId="0" applyAlignment="1">
      <alignment vertical="center"/>
    </xf>
    <xf numFmtId="0" fontId="25" fillId="18" borderId="0" applyAlignment="1">
      <alignment vertical="center"/>
    </xf>
    <xf numFmtId="0" fontId="26" fillId="19" borderId="0" applyAlignment="1">
      <alignment vertical="center"/>
    </xf>
    <xf numFmtId="0" fontId="26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6" fillId="23" borderId="0" applyAlignment="1">
      <alignment vertical="center"/>
    </xf>
    <xf numFmtId="0" fontId="26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6" fillId="27" borderId="0" applyAlignment="1">
      <alignment vertical="center"/>
    </xf>
    <xf numFmtId="0" fontId="26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6" fillId="31" borderId="0" applyAlignment="1">
      <alignment vertical="center"/>
    </xf>
    <xf numFmtId="0" fontId="26" fillId="32" borderId="0" applyAlignment="1">
      <alignment vertical="center"/>
    </xf>
    <xf numFmtId="0" fontId="25" fillId="33" borderId="0" applyAlignment="1">
      <alignment vertical="center"/>
    </xf>
    <xf numFmtId="0" fontId="25" fillId="34" borderId="0" applyAlignment="1">
      <alignment vertical="center"/>
    </xf>
    <xf numFmtId="0" fontId="26" fillId="35" borderId="0" applyAlignment="1">
      <alignment vertical="center"/>
    </xf>
    <xf numFmtId="0" fontId="26" fillId="36" borderId="0" applyAlignment="1">
      <alignment vertical="center"/>
    </xf>
    <xf numFmtId="0" fontId="25" fillId="37" borderId="0" applyAlignment="1">
      <alignment vertical="center"/>
    </xf>
    <xf numFmtId="0" fontId="0" fillId="0" borderId="0"/>
  </cellStyleXfs>
  <cellXfs count="36">
    <xf numFmtId="0" fontId="0" fillId="0" borderId="0" pivotButton="0" quotePrefix="0" xfId="49"/>
    <xf numFmtId="0" fontId="0" fillId="0" borderId="0" pivotButton="0" quotePrefix="0" xfId="0"/>
    <xf numFmtId="0" fontId="1" fillId="2" borderId="0" applyAlignment="1" pivotButton="0" quotePrefix="0" xfId="49">
      <alignment vertical="center"/>
    </xf>
    <xf numFmtId="0" fontId="2" fillId="3" borderId="0" applyAlignment="1" pivotButton="0" quotePrefix="0" xfId="49">
      <alignment vertical="center" wrapText="1"/>
    </xf>
    <xf numFmtId="0" fontId="3" fillId="2" borderId="1" applyAlignment="1" pivotButton="0" quotePrefix="0" xfId="49">
      <alignment horizontal="center" vertical="center" wrapText="1"/>
    </xf>
    <xf numFmtId="0" fontId="3" fillId="2" borderId="2" applyAlignment="1" pivotButton="0" quotePrefix="0" xfId="49">
      <alignment horizontal="center" vertical="center" wrapText="1"/>
    </xf>
    <xf numFmtId="0" fontId="3" fillId="2" borderId="3" applyAlignment="1" pivotButton="0" quotePrefix="0" xfId="49">
      <alignment horizontal="center" vertical="center" wrapText="1"/>
    </xf>
    <xf numFmtId="0" fontId="4" fillId="0" borderId="4" applyAlignment="1" pivotButton="0" quotePrefix="0" xfId="49">
      <alignment vertical="top" wrapText="1"/>
    </xf>
    <xf numFmtId="0" fontId="4" fillId="0" borderId="5" applyAlignment="1" pivotButton="0" quotePrefix="0" xfId="49">
      <alignment vertical="top" wrapText="1"/>
    </xf>
    <xf numFmtId="0" fontId="4" fillId="0" borderId="6" applyAlignment="1" pivotButton="0" quotePrefix="0" xfId="49">
      <alignment vertical="top" wrapText="1"/>
    </xf>
    <xf numFmtId="0" fontId="1" fillId="2" borderId="0" applyAlignment="1" pivotButton="0" quotePrefix="0" xfId="49">
      <alignment horizontal="left" vertical="center"/>
    </xf>
    <xf numFmtId="0" fontId="3" fillId="4" borderId="4" applyAlignment="1" pivotButton="0" quotePrefix="0" xfId="49">
      <alignment horizontal="center" vertical="top" wrapText="1"/>
    </xf>
    <xf numFmtId="0" fontId="5" fillId="0" borderId="4" applyAlignment="1" pivotButton="0" quotePrefix="0" xfId="49">
      <alignment vertical="top" wrapText="1"/>
    </xf>
    <xf numFmtId="0" fontId="4" fillId="5" borderId="4" applyAlignment="1" pivotButton="0" quotePrefix="0" xfId="49">
      <alignment vertical="top" wrapText="1"/>
    </xf>
    <xf numFmtId="0" fontId="5" fillId="0" borderId="5" applyAlignment="1" pivotButton="0" quotePrefix="0" xfId="49">
      <alignment vertical="top" wrapText="1"/>
    </xf>
    <xf numFmtId="0" fontId="4" fillId="5" borderId="5" applyAlignment="1" pivotButton="0" quotePrefix="0" xfId="49">
      <alignment vertical="top" wrapText="1"/>
    </xf>
    <xf numFmtId="0" fontId="4" fillId="6" borderId="4" applyAlignment="1" pivotButton="0" quotePrefix="0" xfId="49">
      <alignment vertical="top" wrapText="1"/>
    </xf>
    <xf numFmtId="0" fontId="4" fillId="6" borderId="4" applyAlignment="1" pivotButton="0" quotePrefix="0" xfId="49">
      <alignment horizontal="center" vertical="top" wrapText="1"/>
    </xf>
    <xf numFmtId="3" fontId="4" fillId="6" borderId="4" applyAlignment="1" pivotButton="0" quotePrefix="0" xfId="49">
      <alignment horizontal="center" vertical="top" wrapText="1"/>
    </xf>
    <xf numFmtId="164" fontId="4" fillId="6" borderId="4" applyAlignment="1" pivotButton="0" quotePrefix="0" xfId="49">
      <alignment horizontal="center" vertical="top" wrapText="1"/>
    </xf>
    <xf numFmtId="0" fontId="6" fillId="0" borderId="5" applyAlignment="1" pivotButton="0" quotePrefix="0" xfId="49">
      <alignment vertical="top" wrapText="1"/>
    </xf>
    <xf numFmtId="0" fontId="4" fillId="0" borderId="5" applyAlignment="1" pivotButton="0" quotePrefix="0" xfId="49">
      <alignment horizontal="center" vertical="top" wrapText="1"/>
    </xf>
    <xf numFmtId="3" fontId="4" fillId="0" borderId="5" applyAlignment="1" pivotButton="0" quotePrefix="0" xfId="49">
      <alignment horizontal="center" vertical="top" wrapText="1"/>
    </xf>
    <xf numFmtId="164" fontId="4" fillId="0" borderId="5" applyAlignment="1" pivotButton="0" quotePrefix="0" xfId="49">
      <alignment horizontal="center" vertical="top" wrapText="1"/>
    </xf>
    <xf numFmtId="0" fontId="4" fillId="6" borderId="5" applyAlignment="1" pivotButton="0" quotePrefix="0" xfId="49">
      <alignment vertical="top" wrapText="1"/>
    </xf>
    <xf numFmtId="0" fontId="4" fillId="6" borderId="5" applyAlignment="1" pivotButton="0" quotePrefix="0" xfId="49">
      <alignment horizontal="center" vertical="top" wrapText="1"/>
    </xf>
    <xf numFmtId="3" fontId="4" fillId="6" borderId="5" applyAlignment="1" pivotButton="0" quotePrefix="0" xfId="49">
      <alignment horizontal="center" vertical="top" wrapText="1"/>
    </xf>
    <xf numFmtId="164" fontId="4" fillId="6" borderId="5" applyAlignment="1" pivotButton="0" quotePrefix="0" xfId="49">
      <alignment horizontal="center" vertical="top" wrapText="1"/>
    </xf>
    <xf numFmtId="0" fontId="6" fillId="6" borderId="5" applyAlignment="1" pivotButton="0" quotePrefix="0" xfId="49">
      <alignment vertical="top" wrapText="1"/>
    </xf>
    <xf numFmtId="0" fontId="0" fillId="0" borderId="0" applyAlignment="1" pivotButton="0" quotePrefix="0" xfId="0">
      <alignment vertical="center"/>
    </xf>
    <xf numFmtId="3" fontId="4" fillId="0" borderId="5" applyAlignment="1" pivotButton="0" quotePrefix="0" xfId="49">
      <alignment vertical="top" wrapText="1"/>
    </xf>
    <xf numFmtId="164" fontId="4" fillId="0" borderId="5" applyAlignment="1" pivotButton="0" quotePrefix="0" xfId="49">
      <alignment vertical="top" wrapText="1"/>
    </xf>
    <xf numFmtId="164" fontId="4" fillId="6" borderId="4" applyAlignment="1" pivotButton="0" quotePrefix="0" xfId="49">
      <alignment horizontal="center" vertical="top" wrapText="1"/>
    </xf>
    <xf numFmtId="164" fontId="4" fillId="0" borderId="5" applyAlignment="1" pivotButton="0" quotePrefix="0" xfId="49">
      <alignment horizontal="center" vertical="top" wrapText="1"/>
    </xf>
    <xf numFmtId="164" fontId="4" fillId="6" borderId="5" applyAlignment="1" pivotButton="0" quotePrefix="0" xfId="49">
      <alignment horizontal="center" vertical="top" wrapText="1"/>
    </xf>
    <xf numFmtId="164" fontId="4" fillId="0" borderId="5" applyAlignment="1" pivotButton="0" quotePrefix="0" xfId="49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WorkbookGuide" displayName="WorkbookGuide" ref="A3:D11" headerRowCount="1" totalsRowShown="0">
  <tableColumns count="4">
    <tableColumn id="1" name="项目"/>
    <tableColumn id="2" name="规则说明"/>
    <tableColumn id="3" name="建议操作"/>
    <tableColumn id="4" name="注意事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evelopmentTasks" displayName="DevelopmentTasks" ref="A1:R170" headerRowCount="1" totalsRowShown="0">
  <autoFilter ref="A1:R170"/>
  <tableColumns count="18">
    <tableColumn id="1" name="任务ID"/>
    <tableColumn id="2" name="阶段"/>
    <tableColumn id="3" name="里程碑"/>
    <tableColumn id="4" name="工作流"/>
    <tableColumn id="5" name="模块"/>
    <tableColumn id="6" name="任务名称"/>
    <tableColumn id="7" name="任务说明"/>
    <tableColumn id="8" name="优先级"/>
    <tableColumn id="9" name="前置依赖"/>
    <tableColumn id="10" name="并行组"/>
    <tableColumn id="11" name="最低工时"/>
    <tableColumn id="12" name="最高工时"/>
    <tableColumn id="13" name="估算置信度"/>
    <tableColumn id="14" name="预算分类"/>
    <tableColumn id="15" name="完成定义（DoD）"/>
    <tableColumn id="16" name="状态"/>
    <tableColumn id="17" name="实际工时"/>
    <tableColumn id="18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MilestoneSummary" displayName="MilestoneSummary" ref="A1:G13" headerRowCount="1" totalsRowShown="0">
  <tableColumns count="7">
    <tableColumn id="1" name="阶段"/>
    <tableColumn id="2" name="里程碑"/>
    <tableColumn id="3" name="任务数"/>
    <tableColumn id="4" name="最低工时"/>
    <tableColumn id="5" name="最高工时"/>
    <tableColumn id="6" name="阶段验收任务"/>
    <tableColumn id="7" name="通过条件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WorkstreamSummary" displayName="WorkstreamSummary" ref="A1:F14" headerRowCount="1" totalsRowShown="0">
  <tableColumns count="6">
    <tableColumn id="1" name="工作流"/>
    <tableColumn id="2" name="任务数"/>
    <tableColumn id="3" name="最低工时"/>
    <tableColumn id="4" name="最高工时"/>
    <tableColumn id="5" name="预算分类"/>
    <tableColumn id="6" name="并行安排说明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iskRegister" displayName="RiskRegister" ref="A1:E9" headerRowCount="1" totalsRowShown="0">
  <tableColumns count="5">
    <tableColumn id="1" name="风险ID"/>
    <tableColumn id="2" name="风险"/>
    <tableColumn id="3" name="影响"/>
    <tableColumn id="4" name="应对措施"/>
    <tableColumn id="5" name="检查节点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rtParallelSummary" displayName="ArtParallelSummary" ref="A9:F18" headerRowCount="1" totalsRowShown="0">
  <tableColumns count="6">
    <tableColumn id="1" name="工作流"/>
    <tableColumn id="2" name="任务数"/>
    <tableColumn id="3" name="最低工时"/>
    <tableColumn id="4" name="最高工时"/>
    <tableColumn id="5" name="主要并行组"/>
    <tableColumn id="6" name="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:D1"/>
    </sheetView>
  </sheetViews>
  <sheetFormatPr baseColWidth="8" defaultColWidth="9" defaultRowHeight="15"/>
  <cols>
    <col width="20" customWidth="1" style="1" min="1" max="1"/>
    <col width="88" customWidth="1" style="1" min="2" max="2"/>
    <col width="28" customWidth="1" style="1" min="3" max="3"/>
    <col width="38" customWidth="1" style="1" min="4" max="4"/>
  </cols>
  <sheetData>
    <row r="1" ht="32" customHeight="1" s="1">
      <c r="A1" s="10" t="inlineStr">
        <is>
          <t>第一版开发任务表使用说明</t>
        </is>
      </c>
    </row>
    <row r="2" ht="34" customHeight="1" s="1">
      <c r="A2" s="3" t="inlineStr">
        <is>
          <t>用于安排需求与功能的开发顺序，不替代OpenSpec、单功能开发规格或可执行测试用例。</t>
        </is>
      </c>
    </row>
    <row r="3">
      <c r="A3" s="11" t="inlineStr">
        <is>
          <t>项目</t>
        </is>
      </c>
      <c r="B3" s="11" t="inlineStr">
        <is>
          <t>规则说明</t>
        </is>
      </c>
      <c r="C3" s="11" t="inlineStr">
        <is>
          <t>建议操作</t>
        </is>
      </c>
      <c r="D3" s="11" t="inlineStr">
        <is>
          <t>注意事项</t>
        </is>
      </c>
    </row>
    <row r="4" ht="42" customHeight="1" s="1">
      <c r="A4" s="7" t="inlineStr">
        <is>
          <t>技术基线</t>
        </is>
      </c>
      <c r="B4" s="7" t="inlineStr">
        <is>
          <t>当前项目：D:\unity\UnityProject\stellar-frontier-auto-era；框架来源：AI-Friendly-Project；产品业务不得写入ScriptsBuiltin。</t>
        </is>
      </c>
      <c r="C4" s="7" t="inlineStr">
        <is>
          <t>按任务ID持续维护</t>
        </is>
      </c>
      <c r="D4" s="7" t="inlineStr">
        <is>
          <t>不要跳过依赖和阶段验收门</t>
        </is>
      </c>
    </row>
    <row r="5" ht="42" customHeight="1" s="1">
      <c r="A5" s="8" t="inlineStr">
        <is>
          <t>开始任务</t>
        </is>
      </c>
      <c r="B5" s="8" t="inlineStr">
        <is>
          <t>确认所有前置依赖已完成；若需求规则尚未转为开发规格，应先补齐规格和对应测试用例。</t>
        </is>
      </c>
      <c r="C5" s="8" t="inlineStr">
        <is>
          <t>按任务ID持续维护</t>
        </is>
      </c>
      <c r="D5" s="8" t="inlineStr">
        <is>
          <t>不要跳过依赖和阶段验收门</t>
        </is>
      </c>
    </row>
    <row r="6" ht="42" customHeight="1" s="1">
      <c r="A6" s="8" t="inlineStr">
        <is>
          <t>并行方式</t>
        </is>
      </c>
      <c r="B6" s="8" t="inlineStr">
        <is>
          <t>不同工作流在依赖满足后可以并行；个人开发时可将其理解为可安全切换的独立任务，而非必须同时进行。</t>
        </is>
      </c>
      <c r="C6" s="8" t="inlineStr">
        <is>
          <t>按任务ID持续维护</t>
        </is>
      </c>
      <c r="D6" s="8" t="inlineStr">
        <is>
          <t>不要跳过依赖和阶段验收门</t>
        </is>
      </c>
    </row>
    <row r="7" ht="42" customHeight="1" s="1">
      <c r="A7" s="8" t="inlineStr">
        <is>
          <t>美术并行</t>
        </is>
      </c>
      <c r="B7" s="8" t="inlineStr">
        <is>
          <t>风格探索、场景方案、正式资源、动画、VFX和UI视觉可在独立美术项目中并行制作；通过资源包验收后再导回主工程。</t>
        </is>
      </c>
      <c r="C7" s="8" t="inlineStr">
        <is>
          <t>按ART任务和美术验收门持续维护</t>
        </is>
      </c>
      <c r="D7" s="8" t="inlineStr">
        <is>
          <t>美术生产不阻塞程序灰盒，但G8最终验收必须等待ART-G2通过</t>
        </is>
      </c>
    </row>
    <row r="8" ht="42" customHeight="1" s="1">
      <c r="A8" s="8" t="inlineStr">
        <is>
          <t>工时规则</t>
        </is>
      </c>
      <c r="B8" s="8" t="inlineStr">
        <is>
          <t>最低/最高工时为预计区间；任何任务一旦重新估算超过18小时，必须拆分后再开始。</t>
        </is>
      </c>
      <c r="C8" s="8" t="inlineStr">
        <is>
          <t>按任务ID持续维护</t>
        </is>
      </c>
      <c r="D8" s="8" t="inlineStr">
        <is>
          <t>不要跳过依赖和阶段验收门</t>
        </is>
      </c>
    </row>
    <row r="9" ht="42" customHeight="1" s="1">
      <c r="A9" s="8" t="inlineStr">
        <is>
          <t>完成规则</t>
        </is>
      </c>
      <c r="B9" s="8" t="inlineStr">
        <is>
          <t>任务达到完成定义（DoD）后才能标记已完成；阶段验收任务通过后才能正式进入下一关键阶段。</t>
        </is>
      </c>
      <c r="C9" s="8" t="inlineStr">
        <is>
          <t>按任务ID持续维护</t>
        </is>
      </c>
      <c r="D9" s="8" t="inlineStr">
        <is>
          <t>不要跳过依赖和阶段验收门</t>
        </is>
      </c>
    </row>
    <row r="10" ht="42" customHeight="1" s="1">
      <c r="A10" s="8" t="inlineStr">
        <is>
          <t>状态维护</t>
        </is>
      </c>
      <c r="B10" s="8" t="inlineStr">
        <is>
          <t>在“开发任务”表修改状态、实际工时和备注；状态列已经设置下拉选项。</t>
        </is>
      </c>
      <c r="C10" s="8" t="inlineStr">
        <is>
          <t>按任务ID持续维护</t>
        </is>
      </c>
      <c r="D10" s="8" t="inlineStr">
        <is>
          <t>不要跳过依赖和阶段验收门</t>
        </is>
      </c>
    </row>
    <row r="11" ht="42" customHeight="1" s="1">
      <c r="A11" s="8" t="inlineStr">
        <is>
          <t>测试边界</t>
        </is>
      </c>
      <c r="B11" s="8" t="inlineStr">
        <is>
          <t>本工作簿没有提前生成测试用例。测试用例应在具体需求进入开发前按最新规格创建。</t>
        </is>
      </c>
      <c r="C11" s="8" t="inlineStr">
        <is>
          <t>按任务ID持续维护</t>
        </is>
      </c>
      <c r="D11" s="8" t="inlineStr">
        <is>
          <t>不要跳过依赖和阶段验收门</t>
        </is>
      </c>
    </row>
    <row r="12">
      <c r="A12" s="0" t="inlineStr">
        <is>
          <t>本次授权</t>
        </is>
      </c>
      <c r="B12" s="0" t="inlineStr">
        <is>
          <t>2026-09-10用户明确授权本次设计审查后更新任务表；不构成长期xlsx修改授权或开发开工。</t>
        </is>
      </c>
    </row>
  </sheetData>
  <mergeCells count="2">
    <mergeCell ref="A1:D1"/>
    <mergeCell ref="A2:D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4"/>
  <sheetViews>
    <sheetView showGridLines="0" tabSelected="1" topLeftCell="F98" workbookViewId="0">
      <selection activeCell="Q106" sqref="Q106"/>
    </sheetView>
  </sheetViews>
  <sheetFormatPr baseColWidth="8" defaultColWidth="9" defaultRowHeight="15"/>
  <cols>
    <col width="12" customWidth="1" style="1" min="1" max="1"/>
    <col width="20" customWidth="1" style="1" min="2" max="4"/>
    <col width="16" customWidth="1" style="1" min="5" max="5"/>
    <col width="28" customWidth="1" style="1" min="6" max="6"/>
    <col width="44" customWidth="1" style="1" min="7" max="7"/>
    <col width="10" customWidth="1" style="1" min="8" max="8"/>
    <col width="30" customWidth="1" style="1" min="9" max="9"/>
    <col width="12" customWidth="1" style="1" min="10" max="10"/>
    <col width="11" customWidth="1" style="1" min="11" max="12"/>
    <col width="12" customWidth="1" style="1" min="13" max="13"/>
    <col width="16" customWidth="1" style="1" min="14" max="14"/>
    <col width="46" customWidth="1" style="1" min="15" max="15"/>
    <col width="12" customWidth="1" style="1" min="16" max="16"/>
    <col width="11" customWidth="1" style="1" min="17" max="17"/>
    <col width="34" customWidth="1" style="1" min="18" max="18"/>
  </cols>
  <sheetData>
    <row r="1" ht="28" customHeight="1" s="1">
      <c r="A1" s="4" t="inlineStr">
        <is>
          <t>任务ID</t>
        </is>
      </c>
      <c r="B1" s="5" t="inlineStr">
        <is>
          <t>阶段</t>
        </is>
      </c>
      <c r="C1" s="5" t="inlineStr">
        <is>
          <t>里程碑</t>
        </is>
      </c>
      <c r="D1" s="5" t="inlineStr">
        <is>
          <t>工作流</t>
        </is>
      </c>
      <c r="E1" s="5" t="inlineStr">
        <is>
          <t>模块</t>
        </is>
      </c>
      <c r="F1" s="5" t="inlineStr">
        <is>
          <t>任务名称</t>
        </is>
      </c>
      <c r="G1" s="5" t="inlineStr">
        <is>
          <t>任务说明</t>
        </is>
      </c>
      <c r="H1" s="5" t="inlineStr">
        <is>
          <t>优先级</t>
        </is>
      </c>
      <c r="I1" s="5" t="inlineStr">
        <is>
          <t>前置依赖</t>
        </is>
      </c>
      <c r="J1" s="5" t="inlineStr">
        <is>
          <t>并行组</t>
        </is>
      </c>
      <c r="K1" s="5" t="inlineStr">
        <is>
          <t>最低工时</t>
        </is>
      </c>
      <c r="L1" s="5" t="inlineStr">
        <is>
          <t>最高工时</t>
        </is>
      </c>
      <c r="M1" s="5" t="inlineStr">
        <is>
          <t>估算置信度</t>
        </is>
      </c>
      <c r="N1" s="5" t="inlineStr">
        <is>
          <t>预算分类</t>
        </is>
      </c>
      <c r="O1" s="5" t="inlineStr">
        <is>
          <t>完成定义（DoD）</t>
        </is>
      </c>
      <c r="P1" s="5" t="inlineStr">
        <is>
          <t>状态</t>
        </is>
      </c>
      <c r="Q1" s="5" t="inlineStr">
        <is>
          <t>实际工时</t>
        </is>
      </c>
      <c r="R1" s="6" t="inlineStr">
        <is>
          <t>备注</t>
        </is>
      </c>
    </row>
    <row r="2" ht="24" customHeight="1" s="1">
      <c r="A2" s="16" t="inlineStr">
        <is>
          <t>P0-001</t>
        </is>
      </c>
      <c r="B2" s="16" t="inlineStr">
        <is>
          <t>阶段0 工程准备</t>
        </is>
      </c>
      <c r="C2" s="16" t="inlineStr">
        <is>
          <t>G0 工程基线</t>
        </is>
      </c>
      <c r="D2" s="16" t="inlineStr">
        <is>
          <t>配置与内容</t>
        </is>
      </c>
      <c r="E2" s="16" t="inlineStr">
        <is>
          <t>范围管理</t>
        </is>
      </c>
      <c r="F2" s="16" t="inlineStr">
        <is>
          <t>建立第一版开发基线</t>
        </is>
      </c>
      <c r="G2" s="16" t="inlineStr">
        <is>
          <t>以AI-Friendly-Project为母框架，登记冻结范围、排除项、设计来源和框架边界。</t>
        </is>
      </c>
      <c r="H2" s="17" t="inlineStr">
        <is>
          <t>P0</t>
        </is>
      </c>
      <c r="I2" s="16" t="inlineStr">
        <is>
          <t>无</t>
        </is>
      </c>
      <c r="J2" s="17" t="inlineStr">
        <is>
          <t>A0</t>
        </is>
      </c>
      <c r="K2" s="18" t="n">
        <v>2</v>
      </c>
      <c r="L2" s="18" t="n">
        <v>4</v>
      </c>
      <c r="M2" s="17" t="inlineStr">
        <is>
          <t>高</t>
        </is>
      </c>
      <c r="N2" s="17" t="inlineStr">
        <is>
          <t>程序预算</t>
        </is>
      </c>
      <c r="O2" s="16" t="inlineStr">
        <is>
          <t>开发入口能定位正式设计来源，并声明ScriptsBuiltin不可承载产品业务。</t>
        </is>
      </c>
      <c r="P2" s="17" t="inlineStr">
        <is>
          <t>已完成</t>
        </is>
      </c>
      <c r="Q2" s="32" t="inlineStr">
        <is>
          <t>0.5h</t>
        </is>
      </c>
      <c r="R2" s="16" t="n"/>
    </row>
    <row r="3" ht="24" customHeight="1" s="1">
      <c r="A3" s="8" t="inlineStr">
        <is>
          <t>P0-002</t>
        </is>
      </c>
      <c r="B3" s="8" t="inlineStr">
        <is>
          <t>阶段0 工程准备</t>
        </is>
      </c>
      <c r="C3" s="8" t="inlineStr">
        <is>
          <t>G0 工程基线</t>
        </is>
      </c>
      <c r="D3" s="8" t="inlineStr">
        <is>
          <t>客户端程序</t>
        </is>
      </c>
      <c r="E3" s="8" t="inlineStr">
        <is>
          <t>工程结构</t>
        </is>
      </c>
      <c r="F3" s="8" t="inlineStr">
        <is>
          <t>建立自动纪元项目层目录与命名空间</t>
        </is>
      </c>
      <c r="G3" s="20" t="inlineStr">
        <is>
          <t>在 Assets/Game/Scripts/AutoEra 下建立产品代码边界，统一使用 AutoEra.* C# 命名空间；产品资源沿用既有资源类型根目录并按业务类别组织，不重复建立 AutoEra 资源目录层；GameData 按框架数据接入规则和业务类别组织；不修改 Assets/Game/ScriptsBuiltin。</t>
        </is>
      </c>
      <c r="H3" s="21" t="inlineStr">
        <is>
          <t>P0</t>
        </is>
      </c>
      <c r="I3" s="8" t="inlineStr">
        <is>
          <t>P0-001</t>
        </is>
      </c>
      <c r="J3" s="21" t="inlineStr">
        <is>
          <t>A0</t>
        </is>
      </c>
      <c r="K3" s="22" t="n">
        <v>4</v>
      </c>
      <c r="L3" s="22" t="n">
        <v>8</v>
      </c>
      <c r="M3" s="21" t="inlineStr">
        <is>
          <t>高</t>
        </is>
      </c>
      <c r="N3" s="21" t="inlineStr">
        <is>
          <t>程序预算</t>
        </is>
      </c>
      <c r="O3" s="20" t="inlineStr">
        <is>
          <t>产品业务代码位于 Assets/Game/Scripts/AutoEra 并使用 AutoEra.* 命名空间；产品资源和 GameData 按既有类型根目录及业务类别组织，无冗余项目名称目录层；框架纯度审计不报告产品业务写入 ScriptsBuiltin 或其他边界越界。</t>
        </is>
      </c>
      <c r="P3" s="21" t="inlineStr">
        <is>
          <t>已完成</t>
        </is>
      </c>
      <c r="Q3" s="33" t="inlineStr">
        <is>
          <t>0.5h</t>
        </is>
      </c>
      <c r="R3" s="8" t="n"/>
    </row>
    <row r="4" ht="24" customHeight="1" s="1">
      <c r="A4" s="24" t="inlineStr">
        <is>
          <t>P0-003</t>
        </is>
      </c>
      <c r="B4" s="24" t="inlineStr">
        <is>
          <t>阶段0 工程准备</t>
        </is>
      </c>
      <c r="C4" s="24" t="inlineStr">
        <is>
          <t>G0 工程基线</t>
        </is>
      </c>
      <c r="D4" s="24" t="inlineStr">
        <is>
          <t>客户端程序</t>
        </is>
      </c>
      <c r="E4" s="24" t="inlineStr">
        <is>
          <t>启动流程</t>
        </is>
      </c>
      <c r="F4" s="24" t="inlineStr">
        <is>
          <t>接入框架启动Procedure与业务场景</t>
        </is>
      </c>
      <c r="G4" s="24" t="inlineStr">
        <is>
          <t>实现IFrameworkStartupProcedure，从Launch／FrameworkReady切换到主菜单和第一版场景。</t>
        </is>
      </c>
      <c r="H4" s="25" t="inlineStr">
        <is>
          <t>P0</t>
        </is>
      </c>
      <c r="I4" s="24" t="inlineStr">
        <is>
          <t>P0-002</t>
        </is>
      </c>
      <c r="J4" s="25" t="inlineStr">
        <is>
          <t>A0</t>
        </is>
      </c>
      <c r="K4" s="26" t="n">
        <v>6</v>
      </c>
      <c r="L4" s="26" t="n">
        <v>10</v>
      </c>
      <c r="M4" s="25" t="inlineStr">
        <is>
          <t>中</t>
        </is>
      </c>
      <c r="N4" s="25" t="inlineStr">
        <is>
          <t>程序预算</t>
        </is>
      </c>
      <c r="O4" s="24" t="inlineStr">
        <is>
          <t>始终从Launch进入，AppConfigs只注册一个业务启动Procedure，重复进出不残留状态。</t>
        </is>
      </c>
      <c r="P4" s="25" t="inlineStr">
        <is>
          <t>已完成</t>
        </is>
      </c>
      <c r="Q4" s="34" t="n"/>
      <c r="R4" s="24" t="n"/>
    </row>
    <row r="5" ht="24" customHeight="1" s="1">
      <c r="A5" s="8" t="inlineStr">
        <is>
          <t>P0-004</t>
        </is>
      </c>
      <c r="B5" s="8" t="inlineStr">
        <is>
          <t>阶段0 工程准备</t>
        </is>
      </c>
      <c r="C5" s="8" t="inlineStr">
        <is>
          <t>G0 工程基线</t>
        </is>
      </c>
      <c r="D5" s="8" t="inlineStr">
        <is>
          <t>客户端程序</t>
        </is>
      </c>
      <c r="E5" s="8" t="inlineStr">
        <is>
          <t>基础设施</t>
        </is>
      </c>
      <c r="F5" s="8" t="inlineStr">
        <is>
          <t>建立永久实例ID与对象注册表</t>
        </is>
      </c>
      <c r="G5" s="8" t="inlineStr">
        <is>
          <t>统一机器、建筑、资源点、任务和行为实例的永久标识。</t>
        </is>
      </c>
      <c r="H5" s="21" t="inlineStr">
        <is>
          <t>P0</t>
        </is>
      </c>
      <c r="I5" s="8" t="inlineStr">
        <is>
          <t>P0-002</t>
        </is>
      </c>
      <c r="J5" s="21" t="inlineStr">
        <is>
          <t>A0</t>
        </is>
      </c>
      <c r="K5" s="22" t="n">
        <v>8</v>
      </c>
      <c r="L5" s="22" t="n">
        <v>14</v>
      </c>
      <c r="M5" s="21" t="inlineStr">
        <is>
          <t>中</t>
        </is>
      </c>
      <c r="N5" s="21" t="inlineStr">
        <is>
          <t>程序预算</t>
        </is>
      </c>
      <c r="O5" s="8" t="inlineStr">
        <is>
          <t>对象生成、回收和重新载入后引用不会串到其他实例。</t>
        </is>
      </c>
      <c r="P5" s="21" t="inlineStr">
        <is>
          <t>已完成</t>
        </is>
      </c>
      <c r="Q5" s="33" t="n"/>
      <c r="R5" s="8" t="n"/>
    </row>
    <row r="6" ht="24" customHeight="1" s="1">
      <c r="A6" s="24" t="inlineStr">
        <is>
          <t>P0-005</t>
        </is>
      </c>
      <c r="B6" s="24" t="inlineStr">
        <is>
          <t>阶段0 工程准备</t>
        </is>
      </c>
      <c r="C6" s="24" t="inlineStr">
        <is>
          <t>G0 工程基线</t>
        </is>
      </c>
      <c r="D6" s="24" t="inlineStr">
        <is>
          <t>客户端程序</t>
        </is>
      </c>
      <c r="E6" s="24" t="inlineStr">
        <is>
          <t>基础设施</t>
        </is>
      </c>
      <c r="F6" s="24" t="inlineStr">
        <is>
          <t>建立确定性世界时钟</t>
        </is>
      </c>
      <c r="G6" s="24" t="inlineStr">
        <is>
          <t>提供世界时间、昼夜阶段和可供在线／离线共同使用的推进接口。</t>
        </is>
      </c>
      <c r="H6" s="25" t="inlineStr">
        <is>
          <t>P0</t>
        </is>
      </c>
      <c r="I6" s="24" t="inlineStr">
        <is>
          <t>P0-002</t>
        </is>
      </c>
      <c r="J6" s="25" t="inlineStr">
        <is>
          <t>A0</t>
        </is>
      </c>
      <c r="K6" s="26" t="n">
        <v>8</v>
      </c>
      <c r="L6" s="26" t="n">
        <v>14</v>
      </c>
      <c r="M6" s="25" t="inlineStr">
        <is>
          <t>中</t>
        </is>
      </c>
      <c r="N6" s="25" t="inlineStr">
        <is>
          <t>程序预算</t>
        </is>
      </c>
      <c r="O6" s="24" t="inlineStr">
        <is>
          <t>世界时间持续推进且不受界面打开影响，同刻事件可稳定排序。</t>
        </is>
      </c>
      <c r="P6" s="25" t="inlineStr">
        <is>
          <t>已完成</t>
        </is>
      </c>
      <c r="Q6" s="34" t="n"/>
      <c r="R6" s="24" t="n"/>
    </row>
    <row r="7" ht="24" customHeight="1" s="1">
      <c r="A7" s="8" t="inlineStr">
        <is>
          <t>P0-006</t>
        </is>
      </c>
      <c r="B7" s="8" t="inlineStr">
        <is>
          <t>阶段0 工程准备</t>
        </is>
      </c>
      <c r="C7" s="8" t="inlineStr">
        <is>
          <t>G0 工程基线</t>
        </is>
      </c>
      <c r="D7" s="8" t="inlineStr">
        <is>
          <t>客户端程序</t>
        </is>
      </c>
      <c r="E7" s="8" t="inlineStr">
        <is>
          <t>配置系统</t>
        </is>
      </c>
      <c r="F7" s="8" t="inlineStr">
        <is>
          <t>接入项目DataTable／Config／Language</t>
        </is>
      </c>
      <c r="G7" s="8" t="inlineStr">
        <is>
          <t>在GameData项目命名空间建立领域表，使用现有生成器并登记AppConfigs加载列表。</t>
        </is>
      </c>
      <c r="H7" s="21" t="inlineStr">
        <is>
          <t>P0</t>
        </is>
      </c>
      <c r="I7" s="8" t="inlineStr">
        <is>
          <t>P0-002</t>
        </is>
      </c>
      <c r="J7" s="21" t="inlineStr">
        <is>
          <t>A0</t>
        </is>
      </c>
      <c r="K7" s="22" t="n">
        <v>8</v>
      </c>
      <c r="L7" s="22" t="n">
        <v>14</v>
      </c>
      <c r="M7" s="21" t="inlineStr">
        <is>
          <t>中</t>
        </is>
      </c>
      <c r="N7" s="21" t="inlineStr">
        <is>
          <t>程序预算</t>
        </is>
      </c>
      <c r="O7" s="8" t="inlineStr">
        <is>
          <t>GF.DataTable／Config／Localization可读取项目数据，缺字段、重复ID和非法引用明确报错。</t>
        </is>
      </c>
      <c r="P7" s="21" t="inlineStr">
        <is>
          <t>已完成</t>
        </is>
      </c>
      <c r="Q7" s="33" t="n"/>
      <c r="R7" s="8" t="n"/>
    </row>
    <row r="8" ht="24" customHeight="1" s="1">
      <c r="A8" s="24" t="inlineStr">
        <is>
          <t>P0-007</t>
        </is>
      </c>
      <c r="B8" s="24" t="inlineStr">
        <is>
          <t>阶段0 工程准备</t>
        </is>
      </c>
      <c r="C8" s="24" t="inlineStr">
        <is>
          <t>G0 工程基线</t>
        </is>
      </c>
      <c r="D8" s="24" t="inlineStr">
        <is>
          <t>客户端程序</t>
        </is>
      </c>
      <c r="E8" s="24" t="inlineStr">
        <is>
          <t>事件记录</t>
        </is>
      </c>
      <c r="F8" s="24" t="inlineStr">
        <is>
          <t>建立项目事件与责任追踪基础</t>
        </is>
      </c>
      <c r="G8" s="24" t="inlineStr">
        <is>
          <t>在GF_X事件机制上为任务、算法、效应器、资源和警报提供关联ID。</t>
        </is>
      </c>
      <c r="H8" s="25" t="inlineStr">
        <is>
          <t>P0</t>
        </is>
      </c>
      <c r="I8" s="24" t="inlineStr">
        <is>
          <t>P0-004</t>
        </is>
      </c>
      <c r="J8" s="25" t="inlineStr">
        <is>
          <t>A0</t>
        </is>
      </c>
      <c r="K8" s="26" t="n">
        <v>10</v>
      </c>
      <c r="L8" s="26" t="n">
        <v>16</v>
      </c>
      <c r="M8" s="25" t="inlineStr">
        <is>
          <t>低</t>
        </is>
      </c>
      <c r="N8" s="25" t="inlineStr">
        <is>
          <t>程序预算</t>
        </is>
      </c>
      <c r="O8" s="24" t="inlineStr">
        <is>
          <t>命令、查询与事实事件边界明确，一次触发可追溯到来源与最终结果。</t>
        </is>
      </c>
      <c r="P8" s="25" t="inlineStr">
        <is>
          <t>已完成</t>
        </is>
      </c>
      <c r="Q8" s="34" t="n"/>
      <c r="R8" s="24" t="n"/>
    </row>
    <row r="9" ht="21" customHeight="1" s="1">
      <c r="A9" s="8" t="inlineStr">
        <is>
          <t>P0-008</t>
        </is>
      </c>
      <c r="B9" s="8" t="inlineStr">
        <is>
          <t>阶段0 工程准备</t>
        </is>
      </c>
      <c r="C9" s="8" t="inlineStr">
        <is>
          <t>G0 工程基线</t>
        </is>
      </c>
      <c r="D9" s="8" t="inlineStr">
        <is>
          <t>UI与交互</t>
        </is>
      </c>
      <c r="E9" s="8" t="inlineStr">
        <is>
          <t>UI框架</t>
        </is>
      </c>
      <c r="F9" s="8" t="inlineStr">
        <is>
          <t>基于UIFormBase建立第一版UI层级</t>
        </is>
      </c>
      <c r="G9" s="8" t="inlineStr">
        <is>
          <t>沿用已验收ART-006与UIForm接入，承载HUD、现场面板、中枢管理界面及模态层；不重做视觉。</t>
        </is>
      </c>
      <c r="H9" s="21" t="inlineStr">
        <is>
          <t>P0</t>
        </is>
      </c>
      <c r="I9" s="8" t="inlineStr">
        <is>
          <t>P0-003,P0-006</t>
        </is>
      </c>
      <c r="J9" s="21" t="inlineStr">
        <is>
          <t>A0</t>
        </is>
      </c>
      <c r="K9" s="22" t="n">
        <v>10</v>
      </c>
      <c r="L9" s="22" t="n">
        <v>16</v>
      </c>
      <c r="M9" s="21" t="inlineStr">
        <is>
          <t>中</t>
        </is>
      </c>
      <c r="N9" s="21" t="inlineStr">
        <is>
          <t>程序预算</t>
        </is>
      </c>
      <c r="O9" s="8" t="inlineStr">
        <is>
          <t>界面均由GF.UI打开，Esc层级正确，世界不因UIForm打开而暂停。</t>
        </is>
      </c>
      <c r="P9" s="21" t="inlineStr">
        <is>
          <t>已完成</t>
        </is>
      </c>
      <c r="Q9" s="33" t="n"/>
      <c r="R9" s="8" t="inlineStr">
        <is>
          <t>2026-09-10设计同步，未据此变更实现状态。</t>
        </is>
      </c>
    </row>
    <row r="10" ht="24" customHeight="1" s="1">
      <c r="A10" s="24" t="inlineStr">
        <is>
          <t>P0-009</t>
        </is>
      </c>
      <c r="B10" s="24" t="inlineStr">
        <is>
          <t>阶段0 工程准备</t>
        </is>
      </c>
      <c r="C10" s="24" t="inlineStr">
        <is>
          <t>G0 工程基线</t>
        </is>
      </c>
      <c r="D10" s="24" t="inlineStr">
        <is>
          <t>客户端程序</t>
        </is>
      </c>
      <c r="E10" s="24" t="inlineStr">
        <is>
          <t>输入与镜头</t>
        </is>
      </c>
      <c r="F10" s="24" t="inlineStr">
        <is>
          <t>建立项目InputModule并接入PC镜头</t>
        </is>
      </c>
      <c r="G10" s="24" t="inlineStr">
        <is>
          <t>实现可替换输入Provider，统一处理WASD、旋转、缩放、聚焦、Esc与UI拦截。</t>
        </is>
      </c>
      <c r="H10" s="25" t="inlineStr">
        <is>
          <t>P0</t>
        </is>
      </c>
      <c r="I10" s="24" t="inlineStr">
        <is>
          <t>P0-003</t>
        </is>
      </c>
      <c r="J10" s="25" t="inlineStr">
        <is>
          <t>A0</t>
        </is>
      </c>
      <c r="K10" s="26" t="n">
        <v>12</v>
      </c>
      <c r="L10" s="26" t="n">
        <v>18</v>
      </c>
      <c r="M10" s="25" t="inlineStr">
        <is>
          <t>低</t>
        </is>
      </c>
      <c r="N10" s="25" t="inlineStr">
        <is>
          <t>程序预算</t>
        </is>
      </c>
      <c r="O10" s="24" t="inlineStr">
        <is>
          <t>产品层不直接读取UnityEngine.Input，所有语义输入均经过项目InputModule。</t>
        </is>
      </c>
      <c r="P10" s="25" t="inlineStr">
        <is>
          <t>已完成</t>
        </is>
      </c>
      <c r="Q10" s="34" t="n"/>
      <c r="R10" s="24" t="inlineStr">
        <is>
          <t>框架仅提供UI关闭接点，项目必须补充完整输入抽象。</t>
        </is>
      </c>
    </row>
    <row r="11" ht="24" customHeight="1" s="1">
      <c r="A11" s="8" t="inlineStr">
        <is>
          <t>P0-010</t>
        </is>
      </c>
      <c r="B11" s="8" t="inlineStr">
        <is>
          <t>阶段0 工程准备</t>
        </is>
      </c>
      <c r="C11" s="8" t="inlineStr">
        <is>
          <t>G0 工程基线</t>
        </is>
      </c>
      <c r="D11" s="8" t="inlineStr">
        <is>
          <t>灰盒与预制体</t>
        </is>
      </c>
      <c r="E11" s="8" t="inlineStr">
        <is>
          <t>制作规范</t>
        </is>
      </c>
      <c r="F11" s="8" t="inlineStr">
        <is>
          <t>建立EntityBase逻辑根与视觉子对象模板</t>
        </is>
      </c>
      <c r="G11" s="8" t="inlineStr">
        <is>
          <t>使用实体分组与对象池规范制作机器、建筑和资源点根预制体及锚点。</t>
        </is>
      </c>
      <c r="H11" s="21" t="inlineStr">
        <is>
          <t>P0</t>
        </is>
      </c>
      <c r="I11" s="8" t="inlineStr">
        <is>
          <t>P0-002,P0-006</t>
        </is>
      </c>
      <c r="J11" s="21" t="inlineStr">
        <is>
          <t>A0</t>
        </is>
      </c>
      <c r="K11" s="22" t="n">
        <v>6</v>
      </c>
      <c r="L11" s="22" t="n">
        <v>10</v>
      </c>
      <c r="M11" s="21" t="inlineStr">
        <is>
          <t>高</t>
        </is>
      </c>
      <c r="N11" s="21" t="inlineStr">
        <is>
          <t>美术资源预算</t>
        </is>
      </c>
      <c r="O11" s="8" t="inlineStr">
        <is>
          <t>实体由GF.Entity管理，正式视觉可替换而ID、碰撞、锚点和玩法组件不变。</t>
        </is>
      </c>
      <c r="P11" s="21" t="inlineStr">
        <is>
          <t>已完成</t>
        </is>
      </c>
      <c r="Q11" s="33" t="n"/>
      <c r="R11" s="8" t="n"/>
    </row>
    <row r="12" ht="24" customHeight="1" s="1">
      <c r="A12" s="24" t="inlineStr">
        <is>
          <t>P0-011</t>
        </is>
      </c>
      <c r="B12" s="24" t="inlineStr">
        <is>
          <t>阶段0 工程准备</t>
        </is>
      </c>
      <c r="C12" s="24" t="inlineStr">
        <is>
          <t>G0 工程基线</t>
        </is>
      </c>
      <c r="D12" s="24" t="inlineStr">
        <is>
          <t>配置与内容</t>
        </is>
      </c>
      <c r="E12" s="24" t="inlineStr">
        <is>
          <t>初始配置</t>
        </is>
      </c>
      <c r="F12" s="24" t="inlineStr">
        <is>
          <t>录入第一版基础配置骨架</t>
        </is>
      </c>
      <c r="G12" s="24" t="inlineStr">
        <is>
          <t>在项目DataTable中建立对象ID、分类、等级、能力、UI、实体和声音引用。</t>
        </is>
      </c>
      <c r="H12" s="25" t="inlineStr">
        <is>
          <t>P0</t>
        </is>
      </c>
      <c r="I12" s="24" t="inlineStr">
        <is>
          <t>P0-006</t>
        </is>
      </c>
      <c r="J12" s="25" t="inlineStr">
        <is>
          <t>A0</t>
        </is>
      </c>
      <c r="K12" s="26" t="n">
        <v>8</v>
      </c>
      <c r="L12" s="26" t="n">
        <v>14</v>
      </c>
      <c r="M12" s="25" t="inlineStr">
        <is>
          <t>中</t>
        </is>
      </c>
      <c r="N12" s="25" t="inlineStr">
        <is>
          <t>程序预算</t>
        </is>
      </c>
      <c r="O12" s="24" t="inlineStr">
        <is>
          <t>所有第一版对象均能由GF数据组件查询且没有悬空资源引用。</t>
        </is>
      </c>
      <c r="P12" s="25" t="inlineStr">
        <is>
          <t>已完成</t>
        </is>
      </c>
      <c r="Q12" s="34" t="n"/>
      <c r="R12" s="24" t="n"/>
    </row>
    <row r="13" ht="24" customHeight="1" s="1">
      <c r="A13" s="8" t="inlineStr">
        <is>
          <t>P0-012</t>
        </is>
      </c>
      <c r="B13" s="8" t="inlineStr">
        <is>
          <t>阶段0 工程准备</t>
        </is>
      </c>
      <c r="C13" s="8" t="inlineStr">
        <is>
          <t>G0 工程基线</t>
        </is>
      </c>
      <c r="D13" s="8" t="inlineStr">
        <is>
          <t>客户端程序</t>
        </is>
      </c>
      <c r="E13" s="8" t="inlineStr">
        <is>
          <t>框架接入</t>
        </is>
      </c>
      <c r="F13" s="8" t="inlineStr">
        <is>
          <t>接入项目UI、实体与声音分组</t>
        </is>
      </c>
      <c r="G13" s="8" t="inlineStr">
        <is>
          <t>扩展UITable、EntityGroupTable与SoundGroupTable并验证安全降级。</t>
        </is>
      </c>
      <c r="H13" s="21" t="inlineStr">
        <is>
          <t>P0</t>
        </is>
      </c>
      <c r="I13" s="8" t="inlineStr">
        <is>
          <t>P0-006,P0-010</t>
        </is>
      </c>
      <c r="J13" s="21" t="inlineStr">
        <is>
          <t>A0</t>
        </is>
      </c>
      <c r="K13" s="22" t="n">
        <v>6</v>
      </c>
      <c r="L13" s="22" t="n">
        <v>10</v>
      </c>
      <c r="M13" s="21" t="inlineStr">
        <is>
          <t>中</t>
        </is>
      </c>
      <c r="N13" s="21" t="inlineStr">
        <is>
          <t>程序预算</t>
        </is>
      </c>
      <c r="O13" s="8" t="inlineStr">
        <is>
          <t>项目UI、实体和声音能够按配置加载，无资源时不会阻断启动。</t>
        </is>
      </c>
      <c r="P13" s="21" t="inlineStr">
        <is>
          <t>已完成</t>
        </is>
      </c>
      <c r="Q13" s="33" t="n"/>
      <c r="R13" s="8" t="n"/>
    </row>
    <row r="14" ht="24" customHeight="1" s="1">
      <c r="A14" s="24" t="inlineStr">
        <is>
          <t>P0-013</t>
        </is>
      </c>
      <c r="B14" s="24" t="inlineStr">
        <is>
          <t>阶段0 工程准备</t>
        </is>
      </c>
      <c r="C14" s="24" t="inlineStr">
        <is>
          <t>G0 工程基线</t>
        </is>
      </c>
      <c r="D14" s="24" t="inlineStr">
        <is>
          <t>集成与阶段验收</t>
        </is>
      </c>
      <c r="E14" s="24" t="inlineStr">
        <is>
          <t>框架审计</t>
        </is>
      </c>
      <c r="F14" s="24" t="inlineStr">
        <is>
          <t>建立项目层编译与框架纯度检查入口</t>
        </is>
      </c>
      <c r="G14" s="24" t="inlineStr">
        <is>
          <t>记录编译、引用、AppConfigs、资源表和audit_framework_purity的检查方式。</t>
        </is>
      </c>
      <c r="H14" s="25" t="inlineStr">
        <is>
          <t>P0</t>
        </is>
      </c>
      <c r="I14" s="24" t="inlineStr">
        <is>
          <t>P0-002,P0-003,P0-006,P0-012</t>
        </is>
      </c>
      <c r="J14" s="25" t="inlineStr">
        <is>
          <t>A0</t>
        </is>
      </c>
      <c r="K14" s="26" t="n">
        <v>4</v>
      </c>
      <c r="L14" s="26" t="n">
        <v>8</v>
      </c>
      <c r="M14" s="25" t="inlineStr">
        <is>
          <t>高</t>
        </is>
      </c>
      <c r="N14" s="25" t="inlineStr">
        <is>
          <t>程序预算</t>
        </is>
      </c>
      <c r="O14" s="24" t="inlineStr">
        <is>
          <t>项目业务不进入ScriptsBuiltin，框架纯度与启动诊断均可重复执行。</t>
        </is>
      </c>
      <c r="P14" s="25" t="inlineStr">
        <is>
          <t>已完成</t>
        </is>
      </c>
      <c r="Q14" s="34" t="n"/>
      <c r="R14" s="24" t="n"/>
    </row>
    <row r="15" ht="24" customHeight="1" s="1">
      <c r="A15" s="8" t="inlineStr">
        <is>
          <t>P0-014</t>
        </is>
      </c>
      <c r="B15" s="8" t="inlineStr">
        <is>
          <t>并行美术0 视觉预研</t>
        </is>
      </c>
      <c r="C15" s="8" t="inlineStr">
        <is>
          <t>ART-G0 视觉基线</t>
        </is>
      </c>
      <c r="D15" s="8" t="inlineStr">
        <is>
          <t>客户端程序</t>
        </is>
      </c>
      <c r="E15" s="8" t="inlineStr">
        <is>
          <t>程序化动作</t>
        </is>
      </c>
      <c r="F15" s="8" t="inlineStr">
        <is>
          <t>实现程序化动作核心与配置模型</t>
        </is>
      </c>
      <c r="G15" s="8" t="inlineStr">
        <is>
          <t>实现MotionRig、MotionGraphAsset、强类型参数、稳定节点ID、基础运动原语、顺序／并行／循环／条件组合、集中式MotionExecutor、关节通道所有权和中断策略。</t>
        </is>
      </c>
      <c r="H15" s="21" t="inlineStr">
        <is>
          <t>P0</t>
        </is>
      </c>
      <c r="I15" s="8" t="inlineStr">
        <is>
          <t>P0-002,ART-005</t>
        </is>
      </c>
      <c r="J15" s="21" t="inlineStr">
        <is>
          <t>ART-MOTION-TOOL</t>
        </is>
      </c>
      <c r="K15" s="22" t="n">
        <v>14</v>
      </c>
      <c r="L15" s="22" t="n">
        <v>18</v>
      </c>
      <c r="M15" s="21" t="inlineStr">
        <is>
          <t>中</t>
        </is>
      </c>
      <c r="N15" s="21" t="inlineStr">
        <is>
          <t>程序预算</t>
        </is>
      </c>
      <c r="O15" s="8" t="inlineStr">
        <is>
          <t>Core不依赖GF_X或具体玩法组件；EditMode覆盖配置校验、组合执行、取消恢复和版本迁移；运行热路径无持续GC分配。</t>
        </is>
      </c>
      <c r="P15" s="21" t="inlineStr">
        <is>
          <t>已完成</t>
        </is>
      </c>
      <c r="Q15" s="33" t="n"/>
      <c r="R15" s="8" t="inlineStr">
        <is>
          <t>可视化节点编辑器不在本任务范围；程序集与Hotfix、HybridCLR、FSR边界须在OpenSpec确认后实施。</t>
        </is>
      </c>
    </row>
    <row r="16" ht="24" customHeight="1" s="1">
      <c r="A16" s="8" t="inlineStr">
        <is>
          <t>P0-015</t>
        </is>
      </c>
      <c r="B16" s="8" t="inlineStr">
        <is>
          <t>并行美术0 视觉预研</t>
        </is>
      </c>
      <c r="C16" s="8" t="inlineStr">
        <is>
          <t>ART-G0 视觉基线</t>
        </is>
      </c>
      <c r="D16" s="8" t="inlineStr">
        <is>
          <t>客户端程序</t>
        </is>
      </c>
      <c r="E16" s="8" t="inlineStr">
        <is>
          <t>动作工具</t>
        </is>
      </c>
      <c r="F16" s="8" t="inlineStr">
        <is>
          <t>建立动作预览、校验与工具包发布链</t>
        </is>
      </c>
      <c r="G16" s="8" t="inlineStr">
        <is>
          <t>实现Inspector配置、EditMode／PlayMode预览、关节范围Gizmo、模拟参数上下文、静态校验、版本元数据及固定GUID的unitypackage发布流程。</t>
        </is>
      </c>
      <c r="H16" s="21" t="inlineStr">
        <is>
          <t>P0</t>
        </is>
      </c>
      <c r="I16" s="8" t="inlineStr">
        <is>
          <t>P0-014</t>
        </is>
      </c>
      <c r="J16" s="21" t="inlineStr">
        <is>
          <t>ART-MOTION-TOOL</t>
        </is>
      </c>
      <c r="K16" s="22" t="n">
        <v>12</v>
      </c>
      <c r="L16" s="22" t="n">
        <v>18</v>
      </c>
      <c r="M16" s="21" t="inlineStr">
        <is>
          <t>低</t>
        </is>
      </c>
      <c r="N16" s="21" t="inlineStr">
        <is>
          <t>程序预算</t>
        </is>
      </c>
      <c r="O16" s="8" t="inlineStr">
        <is>
          <t>ArtResource可安装版本化Core与Editor工具包并预览同一动作资产；缺失关节、参数类型错误、通道冲突和非法连接能够在导出前明确报错。</t>
        </is>
      </c>
      <c r="P16" s="21" t="inlineStr">
        <is>
          <t>已完成</t>
        </is>
      </c>
      <c r="Q16" s="33" t="n"/>
      <c r="R16" s="8" t="inlineStr">
        <is>
          <t>工具包不包含AutoEra Adapter和玩法代码；可视化节点编辑器待代表性样机后决定。</t>
        </is>
      </c>
    </row>
    <row r="17" ht="24" customHeight="1" s="1">
      <c r="A17" s="8" t="inlineStr">
        <is>
          <t>P0-016</t>
        </is>
      </c>
      <c r="B17" s="8" t="inlineStr">
        <is>
          <t>并行美术0 视觉预研</t>
        </is>
      </c>
      <c r="C17" s="8" t="inlineStr">
        <is>
          <t>ART-G0 视觉基线</t>
        </is>
      </c>
      <c r="D17" s="8" t="inlineStr">
        <is>
          <t>集成与阶段验收</t>
        </is>
      </c>
      <c r="E17" s="8" t="inlineStr">
        <is>
          <t>动作贯通</t>
        </is>
      </c>
      <c r="F17" s="8" t="inlineStr">
        <is>
          <t>完成代表性机器程序动作贯通</t>
        </is>
      </c>
      <c r="G17" s="8" t="inlineStr">
        <is>
          <t>使用轮式载体、多关节机械臂和可替换效应器，验证待机、移动、转向、瞄准、作业、取消、断电、安全收回、恢复、对象池复用、重进场景和表现LOD。</t>
        </is>
      </c>
      <c r="H17" s="21" t="inlineStr">
        <is>
          <t>P0</t>
        </is>
      </c>
      <c r="I17" s="8" t="inlineStr">
        <is>
          <t>P0-010,P0-012,P0-015,ART-031</t>
        </is>
      </c>
      <c r="J17" s="21" t="inlineStr">
        <is>
          <t>ART-PILOT</t>
        </is>
      </c>
      <c r="K17" s="22" t="n">
        <v>12</v>
      </c>
      <c r="L17" s="22" t="n">
        <v>18</v>
      </c>
      <c r="M17" s="21" t="inlineStr">
        <is>
          <t>中</t>
        </is>
      </c>
      <c r="N17" s="21" t="inlineStr">
        <is>
          <t>程序预算</t>
        </is>
      </c>
      <c r="O17" s="21" t="inlineStr">
        <is>
          <t>美术项目预览与主工程真实状态驱动结果一致；固定GUID、MotionRig绑定和动作资产引用不丢失；停止更新后可从当前玩法状态正确恢复。</t>
        </is>
      </c>
      <c r="P17" s="21" t="inlineStr">
        <is>
          <t>已完成</t>
        </is>
      </c>
      <c r="Q17" s="33" t="n"/>
      <c r="R17" s="33" t="inlineStr">
        <is>
          <t>玩法逻辑拥有结算权威；动作表现不得反向决定产出、任务完成或存档结果。</t>
        </is>
      </c>
    </row>
    <row r="18" ht="24" customHeight="1" s="1">
      <c r="A18" s="8" t="inlineStr">
        <is>
          <t>G0-001</t>
        </is>
      </c>
      <c r="B18" s="8" t="inlineStr">
        <is>
          <t>阶段0 工程准备</t>
        </is>
      </c>
      <c r="C18" s="8" t="inlineStr">
        <is>
          <t>G0 工程基线</t>
        </is>
      </c>
      <c r="D18" s="8" t="inlineStr">
        <is>
          <t>集成与阶段验收</t>
        </is>
      </c>
      <c r="E18" s="8" t="inlineStr">
        <is>
          <t>阶段验收</t>
        </is>
      </c>
      <c r="F18" s="8" t="inlineStr">
        <is>
          <t>工程基线验收</t>
        </is>
      </c>
      <c r="G18" s="8" t="inlineStr">
        <is>
          <t>确认Launch启动、Procedure、时间、InputModule、GF.UI、GF.Entity和项目数据共同运行。</t>
        </is>
      </c>
      <c r="H18" s="21" t="inlineStr">
        <is>
          <t>P0</t>
        </is>
      </c>
      <c r="I18" s="8" t="inlineStr">
        <is>
          <t>P0-003,P0-004,P0-005,P0-006,P0-008,P0-009,P0-010,P0-011,P0-012,P0-013</t>
        </is>
      </c>
      <c r="J18" s="21" t="inlineStr">
        <is>
          <t>G0</t>
        </is>
      </c>
      <c r="K18" s="22" t="n">
        <v>6</v>
      </c>
      <c r="L18" s="22" t="n">
        <v>10</v>
      </c>
      <c r="M18" s="21" t="inlineStr">
        <is>
          <t>高</t>
        </is>
      </c>
      <c r="N18" s="21" t="inlineStr">
        <is>
          <t>程序预算</t>
        </is>
      </c>
      <c r="O18" s="8" t="inlineStr">
        <is>
          <t>从Launch进入空业务场景，输入与UI正常，实体可加载，项目表无阻塞错误且未改框架核心。</t>
        </is>
      </c>
      <c r="P18" s="21" t="inlineStr">
        <is>
          <t>未开始</t>
        </is>
      </c>
      <c r="Q18" s="33" t="n"/>
      <c r="R18" s="8" t="n"/>
    </row>
    <row r="19" ht="24" customHeight="1" s="1">
      <c r="A19" s="24" t="inlineStr">
        <is>
          <t>P1-001</t>
        </is>
      </c>
      <c r="B19" s="24" t="inlineStr">
        <is>
          <t>阶段1 世界与对象</t>
        </is>
      </c>
      <c r="C19" s="24" t="inlineStr">
        <is>
          <t>G1 可交互世界</t>
        </is>
      </c>
      <c r="D19" s="24" t="inlineStr">
        <is>
          <t>客户端程序</t>
        </is>
      </c>
      <c r="E19" s="24" t="inlineStr">
        <is>
          <t>区域</t>
        </is>
      </c>
      <c r="F19" s="24" t="inlineStr">
        <is>
          <t>建立初始区域与三类友方对象基类</t>
        </is>
      </c>
      <c r="G19" s="24" t="inlineStr">
        <is>
          <t>实现区域、机器、建筑和资源点的共同身份与公开状态边界。</t>
        </is>
      </c>
      <c r="H19" s="25" t="inlineStr">
        <is>
          <t>P0</t>
        </is>
      </c>
      <c r="I19" s="24" t="inlineStr">
        <is>
          <t>G0-001</t>
        </is>
      </c>
      <c r="J19" s="25" t="inlineStr">
        <is>
          <t>A1</t>
        </is>
      </c>
      <c r="K19" s="26" t="n">
        <v>10</v>
      </c>
      <c r="L19" s="26" t="n">
        <v>16</v>
      </c>
      <c r="M19" s="25" t="inlineStr">
        <is>
          <t>中</t>
        </is>
      </c>
      <c r="N19" s="25" t="inlineStr">
        <is>
          <t>程序预算</t>
        </is>
      </c>
      <c r="O19" s="24" t="inlineStr">
        <is>
          <t>三类对象可注册到区域并通过统一入口取得其公开摘要。</t>
        </is>
      </c>
      <c r="P19" s="25" t="inlineStr">
        <is>
          <t>已完成</t>
        </is>
      </c>
      <c r="Q19" s="34" t="n"/>
      <c r="R19" s="24" t="inlineStr">
        <is>
          <t>B10初始区域与三类友方对象基类已交付</t>
        </is>
      </c>
    </row>
    <row r="20" ht="24" customHeight="1" s="1">
      <c r="A20" s="8" t="inlineStr">
        <is>
          <t>P1-002</t>
        </is>
      </c>
      <c r="B20" s="8" t="inlineStr">
        <is>
          <t>阶段1 世界与对象</t>
        </is>
      </c>
      <c r="C20" s="8" t="inlineStr">
        <is>
          <t>G1 可交互世界</t>
        </is>
      </c>
      <c r="D20" s="8" t="inlineStr">
        <is>
          <t>客户端程序</t>
        </is>
      </c>
      <c r="E20" s="8" t="inlineStr">
        <is>
          <t>选择交互</t>
        </is>
      </c>
      <c r="F20" s="8" t="inlineStr">
        <is>
          <t>实现世界对象选择与现场判定</t>
        </is>
      </c>
      <c r="G20" s="8" t="inlineStr">
        <is>
          <t>实现左键选择、空白取消、选中轮廓、镜头距离和画面可见性判定。</t>
        </is>
      </c>
      <c r="H20" s="21" t="inlineStr">
        <is>
          <t>P0</t>
        </is>
      </c>
      <c r="I20" s="8" t="inlineStr">
        <is>
          <t>P0-009,P1-001</t>
        </is>
      </c>
      <c r="J20" s="21" t="inlineStr">
        <is>
          <t>A1</t>
        </is>
      </c>
      <c r="K20" s="22" t="n">
        <v>10</v>
      </c>
      <c r="L20" s="22" t="n">
        <v>16</v>
      </c>
      <c r="M20" s="21" t="inlineStr">
        <is>
          <t>中</t>
        </is>
      </c>
      <c r="N20" s="21" t="inlineStr">
        <is>
          <t>程序预算</t>
        </is>
      </c>
      <c r="O20" s="8" t="inlineStr">
        <is>
          <t>只能选择有效对象，现场操作权限随镜头条件稳定切换。</t>
        </is>
      </c>
      <c r="P20" s="21" t="inlineStr">
        <is>
          <t>已完成</t>
        </is>
      </c>
      <c r="Q20" s="33" t="n"/>
      <c r="R20" s="8" t="inlineStr">
        <is>
          <t>B10世界对象选择与现场判定已交付</t>
        </is>
      </c>
    </row>
    <row r="21" ht="24" customHeight="1" s="1">
      <c r="A21" s="24" t="inlineStr">
        <is>
          <t>P1-003</t>
        </is>
      </c>
      <c r="B21" s="24" t="inlineStr">
        <is>
          <t>阶段1 世界与对象</t>
        </is>
      </c>
      <c r="C21" s="24" t="inlineStr">
        <is>
          <t>G1 可交互世界</t>
        </is>
      </c>
      <c r="D21" s="24" t="inlineStr">
        <is>
          <t>UI与交互</t>
        </is>
      </c>
      <c r="E21" s="24" t="inlineStr">
        <is>
          <t>现场界面</t>
        </is>
      </c>
      <c r="F21" s="24" t="inlineStr">
        <is>
          <t>实现对象现场侧栏通用框架</t>
        </is>
      </c>
      <c r="G21" s="24" t="inlineStr">
        <is>
          <t>提供概况、状态、规则按钮、定位及对象专属页签承载区。</t>
        </is>
      </c>
      <c r="H21" s="25" t="inlineStr">
        <is>
          <t>P0</t>
        </is>
      </c>
      <c r="I21" s="24" t="inlineStr">
        <is>
          <t>P0-008,P1-001,P1-002</t>
        </is>
      </c>
      <c r="J21" s="25" t="inlineStr">
        <is>
          <t>A1</t>
        </is>
      </c>
      <c r="K21" s="26" t="n">
        <v>10</v>
      </c>
      <c r="L21" s="26" t="n">
        <v>16</v>
      </c>
      <c r="M21" s="25" t="inlineStr">
        <is>
          <t>中</t>
        </is>
      </c>
      <c r="N21" s="25" t="inlineStr">
        <is>
          <t>程序预算</t>
        </is>
      </c>
      <c r="O21" s="24" t="inlineStr">
        <is>
          <t>选中三类对象均能打开对应现场面板且不混用错误字段。</t>
        </is>
      </c>
      <c r="P21" s="25" t="inlineStr">
        <is>
          <t>已完成</t>
        </is>
      </c>
      <c r="Q21" s="34" t="n"/>
      <c r="R21" s="24" t="inlineStr">
        <is>
          <t>B10对象现场侧栏通用框架已交付</t>
        </is>
      </c>
    </row>
    <row r="22" ht="24" customHeight="1" s="1">
      <c r="A22" s="8" t="inlineStr">
        <is>
          <t>P1-004</t>
        </is>
      </c>
      <c r="B22" s="8" t="inlineStr">
        <is>
          <t>阶段1 世界与对象</t>
        </is>
      </c>
      <c r="C22" s="8" t="inlineStr">
        <is>
          <t>G1 可交互世界</t>
        </is>
      </c>
      <c r="D22" s="8" t="inlineStr">
        <is>
          <t>客户端程序</t>
        </is>
      </c>
      <c r="E22" s="8" t="inlineStr">
        <is>
          <t>建造网格</t>
        </is>
      </c>
      <c r="F22" s="8" t="inlineStr">
        <is>
          <t>实现占地、位置与旋转吸附</t>
        </is>
      </c>
      <c r="G22" s="8" t="inlineStr">
        <is>
          <t>实现0.5米位置吸附、15度旋转吸附和占地冲突预览。</t>
        </is>
      </c>
      <c r="H22" s="21" t="inlineStr">
        <is>
          <t>P0</t>
        </is>
      </c>
      <c r="I22" s="8" t="inlineStr">
        <is>
          <t>P1-001</t>
        </is>
      </c>
      <c r="J22" s="21" t="inlineStr">
        <is>
          <t>A1</t>
        </is>
      </c>
      <c r="K22" s="22" t="n">
        <v>10</v>
      </c>
      <c r="L22" s="22" t="n">
        <v>16</v>
      </c>
      <c r="M22" s="21" t="inlineStr">
        <is>
          <t>中</t>
        </is>
      </c>
      <c r="N22" s="21" t="inlineStr">
        <is>
          <t>程序预算</t>
        </is>
      </c>
      <c r="O22" s="8" t="inlineStr">
        <is>
          <t>预览能区分合法／非法位置，确认后对象占地与导航边界一致。</t>
        </is>
      </c>
      <c r="P22" s="21" t="inlineStr">
        <is>
          <t>已完成</t>
        </is>
      </c>
      <c r="Q22" s="33" t="n"/>
      <c r="R22" s="8" t="inlineStr">
        <is>
          <t>B10占地/位置/旋转吸附已交付</t>
        </is>
      </c>
    </row>
    <row r="23" ht="72" customHeight="1" s="1">
      <c r="A23" s="24" t="inlineStr">
        <is>
          <t>P1-005</t>
        </is>
      </c>
      <c r="B23" s="24" t="inlineStr">
        <is>
          <t>阶段1 世界与对象</t>
        </is>
      </c>
      <c r="C23" s="24" t="inlineStr">
        <is>
          <t>G1 可交互世界</t>
        </is>
      </c>
      <c r="D23" s="24" t="inlineStr">
        <is>
          <t>客户端程序</t>
        </is>
      </c>
      <c r="E23" s="24" t="inlineStr">
        <is>
          <t>作业点</t>
        </is>
      </c>
      <c r="F23" s="24" t="inlineStr">
        <is>
          <t>实现作业点申请与等待队列</t>
        </is>
      </c>
      <c r="G23" s="24" t="inlineStr">
        <is>
          <t>区分可申请作业点、玩家物流点与等待队列；矿脉只校验机器位于有效作业区域并停稳，不要求玩家指定钻探点。</t>
        </is>
      </c>
      <c r="H23" s="25" t="inlineStr">
        <is>
          <t>P0</t>
        </is>
      </c>
      <c r="I23" s="24" t="inlineStr">
        <is>
          <t>P1-001,P0-004</t>
        </is>
      </c>
      <c r="J23" s="25" t="inlineStr">
        <is>
          <t>A1</t>
        </is>
      </c>
      <c r="K23" s="26" t="n">
        <v>10</v>
      </c>
      <c r="L23" s="26" t="n">
        <v>16</v>
      </c>
      <c r="M23" s="25" t="inlineStr">
        <is>
          <t>低</t>
        </is>
      </c>
      <c r="N23" s="25" t="inlineStr">
        <is>
          <t>程序预算</t>
        </is>
      </c>
      <c r="O23" s="24" t="inlineStr">
        <is>
          <t>多个机器竞争同一点时不会重叠作业或重复寻路，释放后按序接替。</t>
        </is>
      </c>
      <c r="P23" s="25" t="inlineStr">
        <is>
          <t>已完成</t>
        </is>
      </c>
      <c r="Q23" s="34" t="n"/>
      <c r="R23" s="24" t="inlineStr">
        <is>
          <t>审计完成：申请/排队/占用/释放/取消/销毁对称路径已被4个测试文件覆盖；补2个真实缺口(等待者优先级升级+MotionWorkBridge WorkState跟随队列)；回归InitialRegion6/6+MotionWorkBridge5/5+MachineRegionIdentity13/13+MachineNavigation15/15+QA边界4/4全绿</t>
        </is>
      </c>
    </row>
    <row r="24" ht="72" customHeight="1" s="1">
      <c r="A24" s="8" t="inlineStr">
        <is>
          <t>P1-006</t>
        </is>
      </c>
      <c r="B24" s="8" t="inlineStr">
        <is>
          <t>阶段1 世界与对象</t>
        </is>
      </c>
      <c r="C24" s="8" t="inlineStr">
        <is>
          <t>G1 可交互世界</t>
        </is>
      </c>
      <c r="D24" s="8" t="inlineStr">
        <is>
          <t>灰盒与预制体</t>
        </is>
      </c>
      <c r="E24" s="8" t="inlineStr">
        <is>
          <t>场景灰盒</t>
        </is>
      </c>
      <c r="F24" s="8" t="inlineStr">
        <is>
          <t>搭建初始区域地形与对象占地区</t>
        </is>
      </c>
      <c r="G24" s="8" t="inlineStr">
        <is>
          <t>初始区域固定，布局农田、人工林、地表矿脉、无限水域与基地建筑；其它区域随机生成属于后续范围。</t>
        </is>
      </c>
      <c r="H24" s="21" t="inlineStr">
        <is>
          <t>P0</t>
        </is>
      </c>
      <c r="I24" s="8" t="inlineStr">
        <is>
          <t>P0-010</t>
        </is>
      </c>
      <c r="J24" s="21" t="inlineStr">
        <is>
          <t>A1</t>
        </is>
      </c>
      <c r="K24" s="22" t="n">
        <v>10</v>
      </c>
      <c r="L24" s="22" t="n">
        <v>16</v>
      </c>
      <c r="M24" s="21" t="inlineStr">
        <is>
          <t>中</t>
        </is>
      </c>
      <c r="N24" s="21" t="inlineStr">
        <is>
          <t>美术资源预算</t>
        </is>
      </c>
      <c r="O24" s="8" t="inlineStr">
        <is>
          <t>场景比例符合1单位＝1米，通道允许轮式机器正常通行。</t>
        </is>
      </c>
      <c r="P24" s="21" t="inlineStr">
        <is>
          <t>已完成</t>
        </is>
      </c>
      <c r="Q24" s="33" t="n"/>
      <c r="R24" s="8" t="inlineStr">
        <is>
          <t>B10初始区域地形与对象占地区已交付</t>
        </is>
      </c>
    </row>
    <row r="25" ht="72" customHeight="1" s="1">
      <c r="A25" s="24" t="inlineStr">
        <is>
          <t>P1-007</t>
        </is>
      </c>
      <c r="B25" s="24" t="inlineStr">
        <is>
          <t>阶段1 世界与对象</t>
        </is>
      </c>
      <c r="C25" s="24" t="inlineStr">
        <is>
          <t>G1 可交互世界</t>
        </is>
      </c>
      <c r="D25" s="24" t="inlineStr">
        <is>
          <t>灰盒与预制体</t>
        </is>
      </c>
      <c r="E25" s="24" t="inlineStr">
        <is>
          <t>资源点灰盒</t>
        </is>
      </c>
      <c r="F25" s="24" t="inlineStr">
        <is>
          <t>制作四类资源点灰盒预制体</t>
        </is>
      </c>
      <c r="G25" s="24" t="inlineStr">
        <is>
          <t>农田逐土地单元、人工林逐树、矿脉地表表现、无限水域四类资源点；边缘暂存区不等于玩家物流点。</t>
        </is>
      </c>
      <c r="H25" s="25" t="inlineStr">
        <is>
          <t>P0</t>
        </is>
      </c>
      <c r="I25" s="24" t="inlineStr">
        <is>
          <t>P0-010</t>
        </is>
      </c>
      <c r="J25" s="25" t="inlineStr">
        <is>
          <t>A1</t>
        </is>
      </c>
      <c r="K25" s="26" t="n">
        <v>12</v>
      </c>
      <c r="L25" s="26" t="n">
        <v>18</v>
      </c>
      <c r="M25" s="25" t="inlineStr">
        <is>
          <t>中</t>
        </is>
      </c>
      <c r="N25" s="25" t="inlineStr">
        <is>
          <t>美术资源预算</t>
        </is>
      </c>
      <c r="O25" s="24" t="inlineStr">
        <is>
          <t>矿脉可通行但耗尽后的下次游戏内换日才释放建造占用；水域不自行产水。</t>
        </is>
      </c>
      <c r="P25" s="25" t="inlineStr">
        <is>
          <t>已完成</t>
        </is>
      </c>
      <c r="Q25" s="34" t="n"/>
      <c r="R25" s="24" t="inlineStr">
        <is>
          <t>B10四类资源点灰盒预制体已交付</t>
        </is>
      </c>
    </row>
    <row r="26" ht="72" customHeight="1" s="1">
      <c r="A26" s="8" t="inlineStr">
        <is>
          <t>P1-008</t>
        </is>
      </c>
      <c r="B26" s="8" t="inlineStr">
        <is>
          <t>阶段1 世界与对象</t>
        </is>
      </c>
      <c r="C26" s="8" t="inlineStr">
        <is>
          <t>G1 可交互世界</t>
        </is>
      </c>
      <c r="D26" s="8" t="inlineStr">
        <is>
          <t>灰盒与预制体</t>
        </is>
      </c>
      <c r="E26" s="8" t="inlineStr">
        <is>
          <t>建筑灰盒</t>
        </is>
      </c>
      <c r="F26" s="8" t="inlineStr">
        <is>
          <t>制作基础建筑灰盒预制体</t>
        </is>
      </c>
      <c r="G26" s="8" t="inlineStr">
        <is>
          <t>制作仓库、工坊、发电机、太阳能、蓄电池及岸边水泵灰盒；静态外壳与必要接口，不新增内部机械。</t>
        </is>
      </c>
      <c r="H26" s="21" t="inlineStr">
        <is>
          <t>P1</t>
        </is>
      </c>
      <c r="I26" s="8" t="inlineStr">
        <is>
          <t>P0-010</t>
        </is>
      </c>
      <c r="J26" s="21" t="inlineStr">
        <is>
          <t>A1</t>
        </is>
      </c>
      <c r="K26" s="22" t="n">
        <v>12</v>
      </c>
      <c r="L26" s="22" t="n">
        <v>18</v>
      </c>
      <c r="M26" s="21" t="inlineStr">
        <is>
          <t>中</t>
        </is>
      </c>
      <c r="N26" s="21" t="inlineStr">
        <is>
          <t>美术资源预算</t>
        </is>
      </c>
      <c r="O26" s="8" t="inlineStr">
        <is>
          <t>五类建筑占地、选择体、状态锚点和物流锚点符合规格。</t>
        </is>
      </c>
      <c r="P26" s="21" t="inlineStr">
        <is>
          <t>已完成</t>
        </is>
      </c>
      <c r="Q26" s="33" t="n"/>
      <c r="R26" s="8" t="inlineStr">
        <is>
          <t>B10基础建筑灰盒预制体已交付</t>
        </is>
      </c>
    </row>
    <row r="27" ht="24" customHeight="1" s="1">
      <c r="A27" s="24" t="inlineStr">
        <is>
          <t>P1-009</t>
        </is>
      </c>
      <c r="B27" s="24" t="inlineStr">
        <is>
          <t>阶段1 世界与对象</t>
        </is>
      </c>
      <c r="C27" s="24" t="inlineStr">
        <is>
          <t>G1 可交互世界</t>
        </is>
      </c>
      <c r="D27" s="24" t="inlineStr">
        <is>
          <t>UI与交互</t>
        </is>
      </c>
      <c r="E27" s="24" t="inlineStr">
        <is>
          <t>HUD</t>
        </is>
      </c>
      <c r="F27" s="24" t="inlineStr">
        <is>
          <t>实现基础HUD与对象聚焦</t>
        </is>
      </c>
      <c r="G27" s="24" t="inlineStr">
        <is>
          <t>显示世界时间、全局资源占位、任务／警报入口和当前选择摘要。</t>
        </is>
      </c>
      <c r="H27" s="25" t="inlineStr">
        <is>
          <t>P0</t>
        </is>
      </c>
      <c r="I27" s="24" t="inlineStr">
        <is>
          <t>P0-008,P0-005,P1-002</t>
        </is>
      </c>
      <c r="J27" s="25" t="inlineStr">
        <is>
          <t>A1</t>
        </is>
      </c>
      <c r="K27" s="26" t="n">
        <v>10</v>
      </c>
      <c r="L27" s="26" t="n">
        <v>16</v>
      </c>
      <c r="M27" s="25" t="inlineStr">
        <is>
          <t>中</t>
        </is>
      </c>
      <c r="N27" s="25" t="inlineStr">
        <is>
          <t>程序预算</t>
        </is>
      </c>
      <c r="O27" s="24" t="inlineStr">
        <is>
          <t>HUD持续刷新但不会抢走输入焦点，F可聚焦当前对象。</t>
        </is>
      </c>
      <c r="P27" s="25" t="inlineStr">
        <is>
          <t>已完成</t>
        </is>
      </c>
      <c r="Q27" s="34" t="n"/>
      <c r="R27" s="24" t="inlineStr">
        <is>
          <t>B10/B11基础HUD与对象聚焦已交付</t>
        </is>
      </c>
    </row>
    <row r="28" ht="24" customHeight="1" s="1">
      <c r="A28" s="8" t="inlineStr">
        <is>
          <t>G1-001</t>
        </is>
      </c>
      <c r="B28" s="8" t="inlineStr">
        <is>
          <t>阶段1 世界与对象</t>
        </is>
      </c>
      <c r="C28" s="8" t="inlineStr">
        <is>
          <t>G1 可交互世界</t>
        </is>
      </c>
      <c r="D28" s="8" t="inlineStr">
        <is>
          <t>集成与阶段验收</t>
        </is>
      </c>
      <c r="E28" s="8" t="inlineStr">
        <is>
          <t>阶段验收</t>
        </is>
      </c>
      <c r="F28" s="8" t="inlineStr">
        <is>
          <t>可交互世界验收</t>
        </is>
      </c>
      <c r="G28" s="8" t="inlineStr">
        <is>
          <t>确认对象选择、现场面板、灰盒比例、占地和作业点能够闭环。</t>
        </is>
      </c>
      <c r="H28" s="21" t="inlineStr">
        <is>
          <t>P0</t>
        </is>
      </c>
      <c r="I28" s="8" t="inlineStr">
        <is>
          <t>P1-002,P1-003,P1-004,P1-005,P1-006,P1-007,P1-009</t>
        </is>
      </c>
      <c r="J28" s="21" t="inlineStr">
        <is>
          <t>G1</t>
        </is>
      </c>
      <c r="K28" s="22" t="n">
        <v>4</v>
      </c>
      <c r="L28" s="22" t="n">
        <v>8</v>
      </c>
      <c r="M28" s="21" t="inlineStr">
        <is>
          <t>高</t>
        </is>
      </c>
      <c r="N28" s="21" t="inlineStr">
        <is>
          <t>程序预算</t>
        </is>
      </c>
      <c r="O28" s="8" t="inlineStr">
        <is>
          <t>玩家能在初始区域选择三类对象、查看现场信息并预览合法建造位置。</t>
        </is>
      </c>
      <c r="P28" s="21" t="inlineStr">
        <is>
          <t>未开始</t>
        </is>
      </c>
      <c r="Q28" s="33" t="n"/>
      <c r="R28" s="8" t="n"/>
    </row>
    <row r="29" ht="24" customHeight="1" s="1">
      <c r="A29" s="24" t="inlineStr">
        <is>
          <t>P2-001</t>
        </is>
      </c>
      <c r="B29" s="24" t="inlineStr">
        <is>
          <t>阶段2 机器运行</t>
        </is>
      </c>
      <c r="C29" s="24" t="inlineStr">
        <is>
          <t>G2 机器可运行</t>
        </is>
      </c>
      <c r="D29" s="24" t="inlineStr">
        <is>
          <t>客户端程序</t>
        </is>
      </c>
      <c r="E29" s="24" t="inlineStr">
        <is>
          <t>机器载体</t>
        </is>
      </c>
      <c r="F29" s="24" t="inlineStr">
        <is>
          <t>实现轮式载体实例与唯一命名</t>
        </is>
      </c>
      <c r="G29" s="24" t="inlineStr">
        <is>
          <t>实现型号＋终身序号默认名、重命名、货舱和结构字段。</t>
        </is>
      </c>
      <c r="H29" s="25" t="inlineStr">
        <is>
          <t>P0</t>
        </is>
      </c>
      <c r="I29" s="24" t="inlineStr">
        <is>
          <t>P1-001,P0-004,P0-011</t>
        </is>
      </c>
      <c r="J29" s="25" t="inlineStr">
        <is>
          <t>A2</t>
        </is>
      </c>
      <c r="K29" s="26" t="n">
        <v>8</v>
      </c>
      <c r="L29" s="26" t="n">
        <v>14</v>
      </c>
      <c r="M29" s="25" t="inlineStr">
        <is>
          <t>中</t>
        </is>
      </c>
      <c r="N29" s="25" t="inlineStr">
        <is>
          <t>程序预算</t>
        </is>
      </c>
      <c r="O29" s="24" t="inlineStr">
        <is>
          <t>每台机器名称唯一，回收后序号不复用，重命名可持久保留。</t>
        </is>
      </c>
      <c r="P29" s="25" t="inlineStr">
        <is>
          <t>已完成</t>
        </is>
      </c>
      <c r="Q29" s="34" t="n"/>
      <c r="R29" s="24" t="inlineStr">
        <is>
          <t>B11/B12轮式载体实例与唯一命名已交付</t>
        </is>
      </c>
    </row>
    <row r="30" ht="24" customHeight="1" s="1">
      <c r="A30" s="8" t="inlineStr">
        <is>
          <t>P2-002</t>
        </is>
      </c>
      <c r="B30" s="8" t="inlineStr">
        <is>
          <t>阶段2 机器运行</t>
        </is>
      </c>
      <c r="C30" s="8" t="inlineStr">
        <is>
          <t>G2 机器可运行</t>
        </is>
      </c>
      <c r="D30" s="8" t="inlineStr">
        <is>
          <t>客户端程序</t>
        </is>
      </c>
      <c r="E30" s="8" t="inlineStr">
        <is>
          <t>组件槽位</t>
        </is>
      </c>
      <c r="F30" s="8" t="inlineStr">
        <is>
          <t>实现传感器、效应器与核心槽位</t>
        </is>
      </c>
      <c r="G30" s="8" t="inlineStr">
        <is>
          <t>支持兼容检查、安装、拆卸及已安装组件引用。</t>
        </is>
      </c>
      <c r="H30" s="21" t="inlineStr">
        <is>
          <t>P0</t>
        </is>
      </c>
      <c r="I30" s="8" t="inlineStr">
        <is>
          <t>P2-001,P0-011</t>
        </is>
      </c>
      <c r="J30" s="21" t="inlineStr">
        <is>
          <t>A2</t>
        </is>
      </c>
      <c r="K30" s="22" t="n">
        <v>12</v>
      </c>
      <c r="L30" s="22" t="n">
        <v>18</v>
      </c>
      <c r="M30" s="21" t="inlineStr">
        <is>
          <t>中</t>
        </is>
      </c>
      <c r="N30" s="21" t="inlineStr">
        <is>
          <t>程序预算</t>
        </is>
      </c>
      <c r="O30" s="8" t="inlineStr">
        <is>
          <t>轮式载体可正确承载2传感器、2效应器和1核心，非法安装被拒绝。</t>
        </is>
      </c>
      <c r="P30" s="21" t="inlineStr">
        <is>
          <t>已完成</t>
        </is>
      </c>
      <c r="Q30" s="33" t="n"/>
      <c r="R30" s="8" t="inlineStr">
        <is>
          <t>B11/B14传感器/效应器/核心槽位已交付</t>
        </is>
      </c>
    </row>
    <row r="31" ht="24" customHeight="1" s="1">
      <c r="A31" s="24" t="inlineStr">
        <is>
          <t>P2-003</t>
        </is>
      </c>
      <c r="B31" s="24" t="inlineStr">
        <is>
          <t>阶段2 机器运行</t>
        </is>
      </c>
      <c r="C31" s="24" t="inlineStr">
        <is>
          <t>G2 机器可运行</t>
        </is>
      </c>
      <c r="D31" s="24" t="inlineStr">
        <is>
          <t>客户端程序</t>
        </is>
      </c>
      <c r="E31" s="24" t="inlineStr">
        <is>
          <t>机器状态</t>
        </is>
      </c>
      <c r="F31" s="24" t="inlineStr">
        <is>
          <t>实现激活、休眠、开机、断电和连接</t>
        </is>
      </c>
      <c r="G31" s="24" t="inlineStr">
        <is>
          <t>按现场／中枢权限处理激活、运行、供电与中枢连接状态。</t>
        </is>
      </c>
      <c r="H31" s="25" t="inlineStr">
        <is>
          <t>P0</t>
        </is>
      </c>
      <c r="I31" s="24" t="inlineStr">
        <is>
          <t>P2-001,P2-002</t>
        </is>
      </c>
      <c r="J31" s="25" t="inlineStr">
        <is>
          <t>A2</t>
        </is>
      </c>
      <c r="K31" s="26" t="n">
        <v>12</v>
      </c>
      <c r="L31" s="26" t="n">
        <v>18</v>
      </c>
      <c r="M31" s="25" t="inlineStr">
        <is>
          <t>低</t>
        </is>
      </c>
      <c r="N31" s="25" t="inlineStr">
        <is>
          <t>程序预算</t>
        </is>
      </c>
      <c r="O31" s="24" t="inlineStr">
        <is>
          <t>状态组合符合规则，断电恢复不丢配置且连接能自动重新判断。</t>
        </is>
      </c>
      <c r="P31" s="25" t="inlineStr">
        <is>
          <t>已完成</t>
        </is>
      </c>
      <c r="Q31" s="34" t="n"/>
      <c r="R31" s="24" t="inlineStr">
        <is>
          <t>B11激活/休眠/开机/断电/连接已交付</t>
        </is>
      </c>
    </row>
    <row r="32" ht="24.75" customHeight="1" s="1">
      <c r="A32" s="8" t="inlineStr">
        <is>
          <t>P2-004</t>
        </is>
      </c>
      <c r="B32" s="8" t="inlineStr">
        <is>
          <t>阶段2 机器运行</t>
        </is>
      </c>
      <c r="C32" s="8" t="inlineStr">
        <is>
          <t>G2 机器可运行</t>
        </is>
      </c>
      <c r="D32" s="8" t="inlineStr">
        <is>
          <t>客户端程序</t>
        </is>
      </c>
      <c r="E32" s="8" t="inlineStr">
        <is>
          <t>任务队列</t>
        </is>
      </c>
      <c r="F32" s="8" t="inlineStr">
        <is>
          <t>实现机器五档优先级任务队列</t>
        </is>
      </c>
      <c r="G32" s="8" t="inlineStr">
        <is>
          <t>支持排队、正在处理、取消、完成、失败和同级FIFO。</t>
        </is>
      </c>
      <c r="H32" s="21" t="inlineStr">
        <is>
          <t>P0</t>
        </is>
      </c>
      <c r="I32" s="8" t="inlineStr">
        <is>
          <t>P0-004,P0-007,P2-001</t>
        </is>
      </c>
      <c r="J32" s="21" t="inlineStr">
        <is>
          <t>A2</t>
        </is>
      </c>
      <c r="K32" s="22" t="n">
        <v>12</v>
      </c>
      <c r="L32" s="22" t="n">
        <v>18</v>
      </c>
      <c r="M32" s="21" t="inlineStr">
        <is>
          <t>低</t>
        </is>
      </c>
      <c r="N32" s="21" t="inlineStr">
        <is>
          <t>程序预算</t>
        </is>
      </c>
      <c r="O32" s="8" t="inlineStr">
        <is>
          <t>任务状态可追踪，队列满时拒绝新任务而不覆盖旧任务。</t>
        </is>
      </c>
      <c r="P32" s="21" t="inlineStr">
        <is>
          <t>已完成</t>
        </is>
      </c>
      <c r="Q32" s="33" t="n"/>
      <c r="R32" s="8" t="inlineStr">
        <is>
          <t>B11五档优先级任务队列已交付</t>
        </is>
      </c>
    </row>
    <row r="33" ht="24" customHeight="1" s="1">
      <c r="A33" s="24" t="inlineStr">
        <is>
          <t>P2-005</t>
        </is>
      </c>
      <c r="B33" s="24" t="inlineStr">
        <is>
          <t>阶段2 机器运行</t>
        </is>
      </c>
      <c r="C33" s="24" t="inlineStr">
        <is>
          <t>G2 机器可运行</t>
        </is>
      </c>
      <c r="D33" s="24" t="inlineStr">
        <is>
          <t>客户端程序</t>
        </is>
      </c>
      <c r="E33" s="24" t="inlineStr">
        <is>
          <t>效应器队列</t>
        </is>
      </c>
      <c r="F33" s="24" t="inlineStr">
        <is>
          <t>实现每效应器独立行为队列</t>
        </is>
      </c>
      <c r="G33" s="24" t="inlineStr">
        <is>
          <t>支持安全中断点、抢占请求和行为结果返回。</t>
        </is>
      </c>
      <c r="H33" s="25" t="inlineStr">
        <is>
          <t>P0</t>
        </is>
      </c>
      <c r="I33" s="24" t="inlineStr">
        <is>
          <t>P2-004,P2-002</t>
        </is>
      </c>
      <c r="J33" s="25" t="inlineStr">
        <is>
          <t>A2</t>
        </is>
      </c>
      <c r="K33" s="26" t="n">
        <v>12</v>
      </c>
      <c r="L33" s="26" t="n">
        <v>18</v>
      </c>
      <c r="M33" s="25" t="inlineStr">
        <is>
          <t>低</t>
        </is>
      </c>
      <c r="N33" s="25" t="inlineStr">
        <is>
          <t>程序预算</t>
        </is>
      </c>
      <c r="O33" s="24" t="inlineStr">
        <is>
          <t>不同效应器可并行，同一效应器严格串行且只在安全点切换。</t>
        </is>
      </c>
      <c r="P33" s="25" t="inlineStr">
        <is>
          <t>已完成</t>
        </is>
      </c>
      <c r="Q33" s="34" t="n"/>
      <c r="R33" s="24" t="inlineStr">
        <is>
          <t>B11每效应器独立行为队列已交付</t>
        </is>
      </c>
    </row>
    <row r="34" ht="24" customHeight="1" s="1">
      <c r="A34" s="8" t="inlineStr">
        <is>
          <t>P2-006</t>
        </is>
      </c>
      <c r="B34" s="8" t="inlineStr">
        <is>
          <t>阶段2 机器运行</t>
        </is>
      </c>
      <c r="C34" s="8" t="inlineStr">
        <is>
          <t>G2 机器可运行</t>
        </is>
      </c>
      <c r="D34" s="8" t="inlineStr">
        <is>
          <t>客户端程序</t>
        </is>
      </c>
      <c r="E34" s="8" t="inlineStr">
        <is>
          <t>算力</t>
        </is>
      </c>
      <c r="F34" s="8" t="inlineStr">
        <is>
          <t>实现算力池、逻辑容量与默认调度</t>
        </is>
      </c>
      <c r="G34" s="8" t="inlineStr">
        <is>
          <t>实现持续占用、瞬时请求、排队、合并和不可执行结果。</t>
        </is>
      </c>
      <c r="H34" s="21" t="inlineStr">
        <is>
          <t>P0</t>
        </is>
      </c>
      <c r="I34" s="8" t="inlineStr">
        <is>
          <t>P2-002,P2-004</t>
        </is>
      </c>
      <c r="J34" s="21" t="inlineStr">
        <is>
          <t>A2</t>
        </is>
      </c>
      <c r="K34" s="22" t="n">
        <v>12</v>
      </c>
      <c r="L34" s="22" t="n">
        <v>18</v>
      </c>
      <c r="M34" s="21" t="inlineStr">
        <is>
          <t>低</t>
        </is>
      </c>
      <c r="N34" s="21" t="inlineStr">
        <is>
          <t>程序预算</t>
        </is>
      </c>
      <c r="O34" s="8" t="inlineStr">
        <is>
          <t>一级核心能正确限制模板容量和运行并发，算力等待不会随机失败。</t>
        </is>
      </c>
      <c r="P34" s="21" t="inlineStr">
        <is>
          <t>已完成</t>
        </is>
      </c>
      <c r="Q34" s="33" t="n"/>
      <c r="R34" s="8" t="inlineStr">
        <is>
          <t>B11算力池/逻辑容量/默认调度已交付</t>
        </is>
      </c>
    </row>
    <row r="35" ht="72" customHeight="1" s="1">
      <c r="A35" s="24" t="inlineStr">
        <is>
          <t>P2-007</t>
        </is>
      </c>
      <c r="B35" s="24" t="inlineStr">
        <is>
          <t>阶段2 机器运行</t>
        </is>
      </c>
      <c r="C35" s="24" t="inlineStr">
        <is>
          <t>G2 机器可运行</t>
        </is>
      </c>
      <c r="D35" s="24" t="inlineStr">
        <is>
          <t>客户端程序</t>
        </is>
      </c>
      <c r="E35" s="24" t="inlineStr">
        <is>
          <t>传感器</t>
        </is>
      </c>
      <c r="F35" s="24" t="inlineStr">
        <is>
          <t>实现传感器基类与绑定目标读取</t>
        </is>
      </c>
      <c r="G35" s="24" t="inlineStr">
        <is>
          <t>基础土壤传感器输出全量土地格网ID、坐标、面积与湿度；对象状态传感器提供同ID的适宜度与生长速度，保留范围和有效性。</t>
        </is>
      </c>
      <c r="H35" s="25" t="inlineStr">
        <is>
          <t>P0</t>
        </is>
      </c>
      <c r="I35" s="24" t="inlineStr">
        <is>
          <t>P2-002,P1-001,P2-006</t>
        </is>
      </c>
      <c r="J35" s="25" t="inlineStr">
        <is>
          <t>A2</t>
        </is>
      </c>
      <c r="K35" s="26" t="n">
        <v>12</v>
      </c>
      <c r="L35" s="26" t="n">
        <v>18</v>
      </c>
      <c r="M35" s="25" t="inlineStr">
        <is>
          <t>低</t>
        </is>
      </c>
      <c r="N35" s="25" t="inlineStr">
        <is>
          <t>程序预算</t>
        </is>
      </c>
      <c r="O35" s="24" t="inlineStr">
        <is>
          <t>传感器只读取绑定目标的允许信息，休眠或离距后状态明确失效。</t>
        </is>
      </c>
      <c r="P35" s="25" t="inlineStr">
        <is>
          <t>已完成</t>
        </is>
      </c>
      <c r="Q35" s="34" t="n"/>
      <c r="R35" s="24" t="inlineStr">
        <is>
          <t>B14传感器基类与绑定目标读取已交付</t>
        </is>
      </c>
    </row>
    <row r="36" ht="24" customHeight="1" s="1">
      <c r="A36" s="8" t="inlineStr">
        <is>
          <t>P2-008</t>
        </is>
      </c>
      <c r="B36" s="8" t="inlineStr">
        <is>
          <t>阶段2 机器运行</t>
        </is>
      </c>
      <c r="C36" s="8" t="inlineStr">
        <is>
          <t>G2 机器可运行</t>
        </is>
      </c>
      <c r="D36" s="8" t="inlineStr">
        <is>
          <t>客户端程序</t>
        </is>
      </c>
      <c r="E36" s="8" t="inlineStr">
        <is>
          <t>导航</t>
        </is>
      </c>
      <c r="F36" s="8" t="inlineStr">
        <is>
          <t>实现轮式机器自动寻路与基础避障</t>
        </is>
      </c>
      <c r="G36" s="8" t="inlineStr">
        <is>
          <t>接入NavMesh，处理目标点申请、移动算力、重规划和阻塞结果。</t>
        </is>
      </c>
      <c r="H36" s="21" t="inlineStr">
        <is>
          <t>P0</t>
        </is>
      </c>
      <c r="I36" s="8" t="inlineStr">
        <is>
          <t>P1-005,P2-001,P2-004,P2-006</t>
        </is>
      </c>
      <c r="J36" s="21" t="inlineStr">
        <is>
          <t>A2</t>
        </is>
      </c>
      <c r="K36" s="22" t="n">
        <v>12</v>
      </c>
      <c r="L36" s="22" t="n">
        <v>18</v>
      </c>
      <c r="M36" s="21" t="inlineStr">
        <is>
          <t>低</t>
        </is>
      </c>
      <c r="N36" s="21" t="inlineStr">
        <is>
          <t>程序预算</t>
        </is>
      </c>
      <c r="O36" s="8" t="inlineStr">
        <is>
          <t>机器可自主抵达作业点，3／10／30秒规则正确产生重规划、警告和失败。</t>
        </is>
      </c>
      <c r="P36" s="21" t="inlineStr">
        <is>
          <t>已完成</t>
        </is>
      </c>
      <c r="Q36" s="33" t="n"/>
      <c r="R36" s="8" t="inlineStr">
        <is>
          <t>B13轮式自动寻路与基础避障已交付</t>
        </is>
      </c>
    </row>
    <row r="37" ht="24" customHeight="1" s="1">
      <c r="A37" s="24" t="inlineStr">
        <is>
          <t>P2-009</t>
        </is>
      </c>
      <c r="B37" s="24" t="inlineStr">
        <is>
          <t>阶段2 机器运行</t>
        </is>
      </c>
      <c r="C37" s="24" t="inlineStr">
        <is>
          <t>G2 机器可运行</t>
        </is>
      </c>
      <c r="D37" s="24" t="inlineStr">
        <is>
          <t>UI与交互</t>
        </is>
      </c>
      <c r="E37" s="24" t="inlineStr">
        <is>
          <t>机器现场UI</t>
        </is>
      </c>
      <c r="F37" s="24" t="inlineStr">
        <is>
          <t>实现机器概况与硬件页</t>
        </is>
      </c>
      <c r="G37" s="24" t="inlineStr">
        <is>
          <t>显示状态、槽位、组件、功率、算力、命名和现场操作。</t>
        </is>
      </c>
      <c r="H37" s="25" t="inlineStr">
        <is>
          <t>P0</t>
        </is>
      </c>
      <c r="I37" s="24" t="inlineStr">
        <is>
          <t>P1-003,P2-002,P2-003,P2-006</t>
        </is>
      </c>
      <c r="J37" s="25" t="inlineStr">
        <is>
          <t>A2</t>
        </is>
      </c>
      <c r="K37" s="26" t="n">
        <v>12</v>
      </c>
      <c r="L37" s="26" t="n">
        <v>18</v>
      </c>
      <c r="M37" s="25" t="inlineStr">
        <is>
          <t>中</t>
        </is>
      </c>
      <c r="N37" s="25" t="inlineStr">
        <is>
          <t>程序预算</t>
        </is>
      </c>
      <c r="O37" s="24" t="inlineStr">
        <is>
          <t>玩家可在现场完成激活、命名、安装拆卸及状态切换。</t>
        </is>
      </c>
      <c r="P37" s="25" t="inlineStr">
        <is>
          <t>已完成</t>
        </is>
      </c>
      <c r="Q37" s="34" t="n"/>
      <c r="R37" s="24" t="inlineStr">
        <is>
          <t>B11机器概况与硬件页已交付</t>
        </is>
      </c>
    </row>
    <row r="38" ht="24" customHeight="1" s="1">
      <c r="A38" s="8" t="inlineStr">
        <is>
          <t>P2-010</t>
        </is>
      </c>
      <c r="B38" s="8" t="inlineStr">
        <is>
          <t>阶段2 机器运行</t>
        </is>
      </c>
      <c r="C38" s="8" t="inlineStr">
        <is>
          <t>G2 机器可运行</t>
        </is>
      </c>
      <c r="D38" s="8" t="inlineStr">
        <is>
          <t>UI与交互</t>
        </is>
      </c>
      <c r="E38" s="8" t="inlineStr">
        <is>
          <t>中枢机器UI</t>
        </is>
      </c>
      <c r="F38" s="8" t="inlineStr">
        <is>
          <t>实现中枢机器列表与状态摘要</t>
        </is>
      </c>
      <c r="G38" s="8" t="inlineStr">
        <is>
          <t>显示已连接机器、运行、任务、算力和警报并支持允许的远程操作。</t>
        </is>
      </c>
      <c r="H38" s="21" t="inlineStr">
        <is>
          <t>P1</t>
        </is>
      </c>
      <c r="I38" s="8" t="inlineStr">
        <is>
          <t>P0-008,P2-003,P2-004,P2-006</t>
        </is>
      </c>
      <c r="J38" s="21" t="inlineStr">
        <is>
          <t>A2</t>
        </is>
      </c>
      <c r="K38" s="22" t="n">
        <v>10</v>
      </c>
      <c r="L38" s="22" t="n">
        <v>16</v>
      </c>
      <c r="M38" s="21" t="inlineStr">
        <is>
          <t>中</t>
        </is>
      </c>
      <c r="N38" s="21" t="inlineStr">
        <is>
          <t>程序预算</t>
        </is>
      </c>
      <c r="O38" s="8" t="inlineStr">
        <is>
          <t>中枢只显示已连接机器且不提供现场限定的硬件操作。</t>
        </is>
      </c>
      <c r="P38" s="21" t="inlineStr">
        <is>
          <t>已完成</t>
        </is>
      </c>
      <c r="Q38" s="33" t="n"/>
      <c r="R38" s="8" t="inlineStr">
        <is>
          <t>中枢机器索引只列已部署机器(库中蓝图移出)+运行时详情(任务/算力/导航/算法实例)已接入；MachineReadModel 12/12；总览页三栏聚合属P6-009</t>
        </is>
      </c>
    </row>
    <row r="39" ht="24" customHeight="1" s="1">
      <c r="A39" s="24" t="inlineStr">
        <is>
          <t>P2-011</t>
        </is>
      </c>
      <c r="B39" s="24" t="inlineStr">
        <is>
          <t>阶段2 机器运行</t>
        </is>
      </c>
      <c r="C39" s="24" t="inlineStr">
        <is>
          <t>G2 机器可运行</t>
        </is>
      </c>
      <c r="D39" s="24" t="inlineStr">
        <is>
          <t>灰盒与预制体</t>
        </is>
      </c>
      <c r="E39" s="24" t="inlineStr">
        <is>
          <t>机器灰盒</t>
        </is>
      </c>
      <c r="F39" s="24" t="inlineStr">
        <is>
          <t>制作轮式载体与组件安装外观</t>
        </is>
      </c>
      <c r="G39" s="24" t="inlineStr">
        <is>
          <t>制作载体、货舱档位、槽位盖板、状态灯与组件占位模型。</t>
        </is>
      </c>
      <c r="H39" s="25" t="inlineStr">
        <is>
          <t>P0</t>
        </is>
      </c>
      <c r="I39" s="24" t="inlineStr">
        <is>
          <t>P0-010,P2-002</t>
        </is>
      </c>
      <c r="J39" s="25" t="inlineStr">
        <is>
          <t>A2</t>
        </is>
      </c>
      <c r="K39" s="26" t="n">
        <v>12</v>
      </c>
      <c r="L39" s="26" t="n">
        <v>18</v>
      </c>
      <c r="M39" s="25" t="inlineStr">
        <is>
          <t>中</t>
        </is>
      </c>
      <c r="N39" s="25" t="inlineStr">
        <is>
          <t>美术资源预算</t>
        </is>
      </c>
      <c r="O39" s="24" t="inlineStr">
        <is>
          <t>更换组件只改变对应安装位，货舱和状态灯具备清晰档位。</t>
        </is>
      </c>
      <c r="P39" s="25" t="inlineStr">
        <is>
          <t>已完成</t>
        </is>
      </c>
      <c r="Q39" s="34" t="n"/>
      <c r="R39" s="24" t="inlineStr">
        <is>
          <t>B08/B11轮式载体与组件安装外观已交付</t>
        </is>
      </c>
    </row>
    <row r="40" ht="24" customHeight="1" s="1">
      <c r="A40" s="8" t="inlineStr">
        <is>
          <t>P2-012</t>
        </is>
      </c>
      <c r="B40" s="8" t="inlineStr">
        <is>
          <t>阶段2 机器运行</t>
        </is>
      </c>
      <c r="C40" s="8" t="inlineStr">
        <is>
          <t>G2 机器可运行</t>
        </is>
      </c>
      <c r="D40" s="8" t="inlineStr">
        <is>
          <t>技术美术与特效</t>
        </is>
      </c>
      <c r="E40" s="8" t="inlineStr">
        <is>
          <t>机器反馈</t>
        </is>
      </c>
      <c r="F40" s="8" t="inlineStr">
        <is>
          <t>制作移动、选中与状态基础反馈</t>
        </is>
      </c>
      <c r="G40" s="8" t="inlineStr">
        <is>
          <t>提供轮组运动、选中轮廓、激活灯、断电和等待表现。</t>
        </is>
      </c>
      <c r="H40" s="21" t="inlineStr">
        <is>
          <t>P1</t>
        </is>
      </c>
      <c r="I40" s="8" t="inlineStr">
        <is>
          <t>P2-011,P2-003,P2-008</t>
        </is>
      </c>
      <c r="J40" s="21" t="inlineStr">
        <is>
          <t>A2</t>
        </is>
      </c>
      <c r="K40" s="22" t="n">
        <v>8</v>
      </c>
      <c r="L40" s="22" t="n">
        <v>14</v>
      </c>
      <c r="M40" s="21" t="inlineStr">
        <is>
          <t>中</t>
        </is>
      </c>
      <c r="N40" s="21" t="inlineStr">
        <is>
          <t>美术资源预算</t>
        </is>
      </c>
      <c r="O40" s="8" t="inlineStr">
        <is>
          <t>机器主要运行状态不依赖打开面板即可辨认。</t>
        </is>
      </c>
      <c r="P40" s="21" t="inlineStr">
        <is>
          <t>进行中</t>
        </is>
      </c>
      <c r="Q40" s="33" t="n"/>
      <c r="R40" s="8" t="inlineStr">
        <is>
          <t>程序部分已交付：选中轮廓(RegionInputModule.SetHighlight)+轮组运动(MachineNavigationMotionAdapter)；激活灯/断电/等待VFX表现待美术批次验收</t>
        </is>
      </c>
    </row>
    <row r="41" ht="24" customHeight="1" s="1">
      <c r="A41" s="24" t="inlineStr">
        <is>
          <t>G2-001</t>
        </is>
      </c>
      <c r="B41" s="24" t="inlineStr">
        <is>
          <t>阶段2 机器运行</t>
        </is>
      </c>
      <c r="C41" s="24" t="inlineStr">
        <is>
          <t>G2 机器可运行</t>
        </is>
      </c>
      <c r="D41" s="24" t="inlineStr">
        <is>
          <t>集成与阶段验收</t>
        </is>
      </c>
      <c r="E41" s="24" t="inlineStr">
        <is>
          <t>阶段验收</t>
        </is>
      </c>
      <c r="F41" s="24" t="inlineStr">
        <is>
          <t>机器运行闭环验收</t>
        </is>
      </c>
      <c r="G41" s="24" t="inlineStr">
        <is>
          <t>确认组装、部署、现场激活、移动、排队、算力和中枢查看闭环。</t>
        </is>
      </c>
      <c r="H41" s="25" t="inlineStr">
        <is>
          <t>P0</t>
        </is>
      </c>
      <c r="I41" s="24" t="inlineStr">
        <is>
          <t>P2-003,P2-004,P2-005,P2-006,P2-007,P2-008,P2-009,P2-010,P2-011</t>
        </is>
      </c>
      <c r="J41" s="25" t="inlineStr">
        <is>
          <t>G2</t>
        </is>
      </c>
      <c r="K41" s="26" t="n">
        <v>6</v>
      </c>
      <c r="L41" s="26" t="n">
        <v>10</v>
      </c>
      <c r="M41" s="25" t="inlineStr">
        <is>
          <t>中</t>
        </is>
      </c>
      <c r="N41" s="25" t="inlineStr">
        <is>
          <t>程序预算</t>
        </is>
      </c>
      <c r="O41" s="24" t="inlineStr">
        <is>
          <t>一台轮式机器可合法组装、激活、移动到作业点并在中枢显示可诊断状态。</t>
        </is>
      </c>
      <c r="P41" s="25" t="inlineStr">
        <is>
          <t>未开始</t>
        </is>
      </c>
      <c r="Q41" s="34" t="n"/>
      <c r="R41" s="24" t="n"/>
    </row>
    <row r="42" ht="24" customHeight="1" s="1">
      <c r="A42" s="8" t="inlineStr">
        <is>
          <t>P3-001</t>
        </is>
      </c>
      <c r="B42" s="8" t="inlineStr">
        <is>
          <t>阶段3 算法系统</t>
        </is>
      </c>
      <c r="C42" s="8" t="inlineStr">
        <is>
          <t>G3 自动化可配置</t>
        </is>
      </c>
      <c r="D42" s="8" t="inlineStr">
        <is>
          <t>客户端程序</t>
        </is>
      </c>
      <c r="E42" s="8" t="inlineStr">
        <is>
          <t>算法模型</t>
        </is>
      </c>
      <c r="F42" s="8" t="inlineStr">
        <is>
          <t>实现强类型端口与算法图数据模型</t>
        </is>
      </c>
      <c r="G42" s="8" t="inlineStr">
        <is>
          <t>支持八类数据、节点、端口、连线、公开参数和稳定节点ID。</t>
        </is>
      </c>
      <c r="H42" s="21" t="inlineStr">
        <is>
          <t>P0</t>
        </is>
      </c>
      <c r="I42" s="8" t="inlineStr">
        <is>
          <t>G2-001,P0-006</t>
        </is>
      </c>
      <c r="J42" s="21" t="inlineStr">
        <is>
          <t>A3</t>
        </is>
      </c>
      <c r="K42" s="22" t="n">
        <v>12</v>
      </c>
      <c r="L42" s="22" t="n">
        <v>18</v>
      </c>
      <c r="M42" s="21" t="inlineStr">
        <is>
          <t>低</t>
        </is>
      </c>
      <c r="N42" s="21" t="inlineStr">
        <is>
          <t>程序预算</t>
        </is>
      </c>
      <c r="O42" s="8" t="inlineStr">
        <is>
          <t>算法图可创建、编辑和序列化，非法类型连线无法建立。</t>
        </is>
      </c>
      <c r="P42" s="21" t="inlineStr">
        <is>
          <t>已完成</t>
        </is>
      </c>
      <c r="Q42" s="33" t="n"/>
      <c r="R42" s="8" t="inlineStr">
        <is>
          <t>B15强类型端口与算法图数据模型已交付</t>
        </is>
      </c>
    </row>
    <row r="43" ht="24" customHeight="1" s="1">
      <c r="A43" s="24" t="inlineStr">
        <is>
          <t>P3-002</t>
        </is>
      </c>
      <c r="B43" s="24" t="inlineStr">
        <is>
          <t>阶段3 算法系统</t>
        </is>
      </c>
      <c r="C43" s="24" t="inlineStr">
        <is>
          <t>G3 自动化可配置</t>
        </is>
      </c>
      <c r="D43" s="24" t="inlineStr">
        <is>
          <t>客户端程序</t>
        </is>
      </c>
      <c r="E43" s="24" t="inlineStr">
        <is>
          <t>算法验证</t>
        </is>
      </c>
      <c r="F43" s="24" t="inlineStr">
        <is>
          <t>实现结构、绑定与逻辑容量验证</t>
        </is>
      </c>
      <c r="G43" s="24" t="inlineStr">
        <is>
          <t>检查缺失端口、类型、循环、环境、硬件能力和逻辑成本。</t>
        </is>
      </c>
      <c r="H43" s="25" t="inlineStr">
        <is>
          <t>P0</t>
        </is>
      </c>
      <c r="I43" s="24" t="inlineStr">
        <is>
          <t>P3-001,P2-006</t>
        </is>
      </c>
      <c r="J43" s="25" t="inlineStr">
        <is>
          <t>A3</t>
        </is>
      </c>
      <c r="K43" s="26" t="n">
        <v>12</v>
      </c>
      <c r="L43" s="26" t="n">
        <v>18</v>
      </c>
      <c r="M43" s="25" t="inlineStr">
        <is>
          <t>低</t>
        </is>
      </c>
      <c r="N43" s="25" t="inlineStr">
        <is>
          <t>程序预算</t>
        </is>
      </c>
      <c r="O43" s="24" t="inlineStr">
        <is>
          <t>可在应用前列出全部结构问题并阻止无效算法运行。</t>
        </is>
      </c>
      <c r="P43" s="25" t="inlineStr">
        <is>
          <t>已完成</t>
        </is>
      </c>
      <c r="Q43" s="34" t="n"/>
      <c r="R43" s="24" t="inlineStr">
        <is>
          <t>B15结构/绑定/逻辑容量验证已交付</t>
        </is>
      </c>
    </row>
    <row r="44" ht="24" customHeight="1" s="1">
      <c r="A44" s="8" t="inlineStr">
        <is>
          <t>P3-003</t>
        </is>
      </c>
      <c r="B44" s="8" t="inlineStr">
        <is>
          <t>阶段3 算法系统</t>
        </is>
      </c>
      <c r="C44" s="8" t="inlineStr">
        <is>
          <t>G3 自动化可配置</t>
        </is>
      </c>
      <c r="D44" s="8" t="inlineStr">
        <is>
          <t>客户端程序</t>
        </is>
      </c>
      <c r="E44" s="8" t="inlineStr">
        <is>
          <t>算法运行</t>
        </is>
      </c>
      <c r="F44" s="8" t="inlineStr">
        <is>
          <t>实现事件与持续数据求值器</t>
        </is>
      </c>
      <c r="G44" s="8" t="inlineStr">
        <is>
          <t>处理瞬时事件、持续数据、状态节点和算力请求。</t>
        </is>
      </c>
      <c r="H44" s="21" t="inlineStr">
        <is>
          <t>P0</t>
        </is>
      </c>
      <c r="I44" s="8" t="inlineStr">
        <is>
          <t>P3-001,P3-002,P2-006,P0-005</t>
        </is>
      </c>
      <c r="J44" s="21" t="inlineStr">
        <is>
          <t>A3</t>
        </is>
      </c>
      <c r="K44" s="22" t="n">
        <v>12</v>
      </c>
      <c r="L44" s="22" t="n">
        <v>18</v>
      </c>
      <c r="M44" s="21" t="inlineStr">
        <is>
          <t>低</t>
        </is>
      </c>
      <c r="N44" s="21" t="inlineStr">
        <is>
          <t>程序预算</t>
        </is>
      </c>
      <c r="O44" s="8" t="inlineStr">
        <is>
          <t>同一输入和世界状态得到确定结果，运行不会逐帧产生无意义求值。</t>
        </is>
      </c>
      <c r="P44" s="21" t="inlineStr">
        <is>
          <t>已完成</t>
        </is>
      </c>
      <c r="Q44" s="33" t="n"/>
      <c r="R44" s="8" t="inlineStr">
        <is>
          <t>B15事件与持续数据求值器已交付</t>
        </is>
      </c>
    </row>
    <row r="45" ht="24" customHeight="1" s="1">
      <c r="A45" s="24" t="inlineStr">
        <is>
          <t>P3-004</t>
        </is>
      </c>
      <c r="B45" s="24" t="inlineStr">
        <is>
          <t>阶段3 算法系统</t>
        </is>
      </c>
      <c r="C45" s="24" t="inlineStr">
        <is>
          <t>G3 自动化可配置</t>
        </is>
      </c>
      <c r="D45" s="24" t="inlineStr">
        <is>
          <t>客户端程序</t>
        </is>
      </c>
      <c r="E45" s="24" t="inlineStr">
        <is>
          <t>基础节点</t>
        </is>
      </c>
      <c r="F45" s="24" t="inlineStr">
        <is>
          <t>实现基础参数、比较与逻辑节点</t>
        </is>
      </c>
      <c r="G45" s="24" t="inlineStr">
        <is>
          <t>实现常量、参数、比较、并且、最小值、分支和事件合并。</t>
        </is>
      </c>
      <c r="H45" s="25" t="inlineStr">
        <is>
          <t>P0</t>
        </is>
      </c>
      <c r="I45" s="24" t="inlineStr">
        <is>
          <t>P3-003</t>
        </is>
      </c>
      <c r="J45" s="25" t="inlineStr">
        <is>
          <t>A3</t>
        </is>
      </c>
      <c r="K45" s="26" t="n">
        <v>10</v>
      </c>
      <c r="L45" s="26" t="n">
        <v>16</v>
      </c>
      <c r="M45" s="25" t="inlineStr">
        <is>
          <t>中</t>
        </is>
      </c>
      <c r="N45" s="25" t="inlineStr">
        <is>
          <t>程序预算</t>
        </is>
      </c>
      <c r="O45" s="24" t="inlineStr">
        <is>
          <t>五套模板需要的通用判断节点均可稳定求值。</t>
        </is>
      </c>
      <c r="P45" s="25" t="inlineStr">
        <is>
          <t>已完成</t>
        </is>
      </c>
      <c r="Q45" s="34" t="n"/>
      <c r="R45" s="24" t="inlineStr">
        <is>
          <t>B15基础参数/比较/逻辑节点已交付</t>
        </is>
      </c>
    </row>
    <row r="46" ht="24" customHeight="1" s="1">
      <c r="A46" s="8" t="inlineStr">
        <is>
          <t>P3-005</t>
        </is>
      </c>
      <c r="B46" s="8" t="inlineStr">
        <is>
          <t>阶段3 算法系统</t>
        </is>
      </c>
      <c r="C46" s="8" t="inlineStr">
        <is>
          <t>G3 自动化可配置</t>
        </is>
      </c>
      <c r="D46" s="8" t="inlineStr">
        <is>
          <t>客户端程序</t>
        </is>
      </c>
      <c r="E46" s="8" t="inlineStr">
        <is>
          <t>状态节点</t>
        </is>
      </c>
      <c r="F46" s="8" t="inlineStr">
        <is>
          <t>实现启动、阶段变化、延迟和任务查询节点</t>
        </is>
      </c>
      <c r="G46" s="8" t="inlineStr">
        <is>
          <t>支持恢复检查、防重查询、30秒重试和运行状态保存。</t>
        </is>
      </c>
      <c r="H46" s="21" t="inlineStr">
        <is>
          <t>P0</t>
        </is>
      </c>
      <c r="I46" s="8" t="inlineStr">
        <is>
          <t>P3-003,P2-004</t>
        </is>
      </c>
      <c r="J46" s="21" t="inlineStr">
        <is>
          <t>A3</t>
        </is>
      </c>
      <c r="K46" s="22" t="n">
        <v>10</v>
      </c>
      <c r="L46" s="22" t="n">
        <v>16</v>
      </c>
      <c r="M46" s="21" t="inlineStr">
        <is>
          <t>低</t>
        </is>
      </c>
      <c r="N46" s="21" t="inlineStr">
        <is>
          <t>程序预算</t>
        </is>
      </c>
      <c r="O46" s="8" t="inlineStr">
        <is>
          <t>启动／恢复不会重复提交，延迟和任务查询能跨存档保持责任。</t>
        </is>
      </c>
      <c r="P46" s="21" t="inlineStr">
        <is>
          <t>已完成</t>
        </is>
      </c>
      <c r="Q46" s="33" t="n"/>
      <c r="R46" s="8" t="inlineStr">
        <is>
          <t>B15启动/阶段/延迟/任务查询节点已交付</t>
        </is>
      </c>
    </row>
    <row r="47" ht="72" customHeight="1" s="1">
      <c r="A47" s="24" t="inlineStr">
        <is>
          <t>P3-006</t>
        </is>
      </c>
      <c r="B47" s="24" t="inlineStr">
        <is>
          <t>阶段3 算法系统</t>
        </is>
      </c>
      <c r="C47" s="24" t="inlineStr">
        <is>
          <t>G3 自动化可配置</t>
        </is>
      </c>
      <c r="D47" s="24" t="inlineStr">
        <is>
          <t>客户端程序</t>
        </is>
      </c>
      <c r="E47" s="24" t="inlineStr">
        <is>
          <t>组件端点</t>
        </is>
      </c>
      <c r="F47" s="24" t="inlineStr">
        <is>
          <t>实现传感器、效应器、机器与对象端点</t>
        </is>
      </c>
      <c r="G47" s="24" t="inlineStr">
        <is>
          <t>把已安装组件、机器状态、目标状态和行为接口暴露给图。</t>
        </is>
      </c>
      <c r="H47" s="25" t="inlineStr">
        <is>
          <t>P0</t>
        </is>
      </c>
      <c r="I47" s="24" t="inlineStr">
        <is>
          <t>P3-003,P2-005,P2-007</t>
        </is>
      </c>
      <c r="J47" s="25" t="inlineStr">
        <is>
          <t>A3</t>
        </is>
      </c>
      <c r="K47" s="26" t="n">
        <v>12</v>
      </c>
      <c r="L47" s="26" t="n">
        <v>18</v>
      </c>
      <c r="M47" s="25" t="inlineStr">
        <is>
          <t>低</t>
        </is>
      </c>
      <c r="N47" s="25" t="inlineStr">
        <is>
          <t>程序预算</t>
        </is>
      </c>
      <c r="O47" s="24" t="inlineStr">
        <is>
          <t>端口类型与能力匹配；逐土地单元数据按稳定ID关联，不输出目标湿度或代替玩家决策。</t>
        </is>
      </c>
      <c r="P47" s="25" t="inlineStr">
        <is>
          <t>已完成</t>
        </is>
      </c>
      <c r="Q47" s="34" t="n"/>
      <c r="R47" s="24" t="inlineStr">
        <is>
          <t>B15传感器/效应器/机器/对象端点已交付</t>
        </is>
      </c>
    </row>
    <row r="48" ht="24" customHeight="1" s="1">
      <c r="A48" s="8" t="inlineStr">
        <is>
          <t>P3-007</t>
        </is>
      </c>
      <c r="B48" s="8" t="inlineStr">
        <is>
          <t>阶段3 算法系统</t>
        </is>
      </c>
      <c r="C48" s="8" t="inlineStr">
        <is>
          <t>G3 自动化可配置</t>
        </is>
      </c>
      <c r="D48" s="8" t="inlineStr">
        <is>
          <t>客户端程序</t>
        </is>
      </c>
      <c r="E48" s="8" t="inlineStr">
        <is>
          <t>任务节点</t>
        </is>
      </c>
      <c r="F48" s="8" t="inlineStr">
        <is>
          <t>实现移动、固定路线任务与行为提交节点</t>
        </is>
      </c>
      <c r="G48" s="8" t="inlineStr">
        <is>
          <t>允许图向机器任务队列提交导航、效应器和组合任务。</t>
        </is>
      </c>
      <c r="H48" s="21" t="inlineStr">
        <is>
          <t>P0</t>
        </is>
      </c>
      <c r="I48" s="8" t="inlineStr">
        <is>
          <t>P3-005,P3-006,P2-008</t>
        </is>
      </c>
      <c r="J48" s="21" t="inlineStr">
        <is>
          <t>A3</t>
        </is>
      </c>
      <c r="K48" s="22" t="n">
        <v>12</v>
      </c>
      <c r="L48" s="22" t="n">
        <v>18</v>
      </c>
      <c r="M48" s="21" t="inlineStr">
        <is>
          <t>低</t>
        </is>
      </c>
      <c r="N48" s="21" t="inlineStr">
        <is>
          <t>程序预算</t>
        </is>
      </c>
      <c r="O48" s="8" t="inlineStr">
        <is>
          <t>节点返回已提交、等待、拒绝、完成、取消和失败等可处理结果。</t>
        </is>
      </c>
      <c r="P48" s="21" t="inlineStr">
        <is>
          <t>已完成</t>
        </is>
      </c>
      <c r="Q48" s="33" t="n"/>
      <c r="R48" s="8" t="inlineStr">
        <is>
          <t>B15移动/固定路线任务/行为提交节点已交付</t>
        </is>
      </c>
    </row>
    <row r="49" ht="24" customHeight="1" s="1">
      <c r="A49" s="24" t="inlineStr">
        <is>
          <t>P3-008</t>
        </is>
      </c>
      <c r="B49" s="24" t="inlineStr">
        <is>
          <t>阶段3 算法系统</t>
        </is>
      </c>
      <c r="C49" s="24" t="inlineStr">
        <is>
          <t>G3 自动化可配置</t>
        </is>
      </c>
      <c r="D49" s="24" t="inlineStr">
        <is>
          <t>客户端程序</t>
        </is>
      </c>
      <c r="E49" s="24" t="inlineStr">
        <is>
          <t>算法实例</t>
        </is>
      </c>
      <c r="F49" s="24" t="inlineStr">
        <is>
          <t>实现草稿、应用、重启与运行实例切换</t>
        </is>
      </c>
      <c r="G49" s="24" t="inlineStr">
        <is>
          <t>结构变更安全重启，参数变更在当前行为安全结束后生效。</t>
        </is>
      </c>
      <c r="H49" s="25" t="inlineStr">
        <is>
          <t>P0</t>
        </is>
      </c>
      <c r="I49" s="24" t="inlineStr">
        <is>
          <t>P3-002,P3-003</t>
        </is>
      </c>
      <c r="J49" s="25" t="inlineStr">
        <is>
          <t>A3</t>
        </is>
      </c>
      <c r="K49" s="26" t="n">
        <v>10</v>
      </c>
      <c r="L49" s="26" t="n">
        <v>16</v>
      </c>
      <c r="M49" s="25" t="inlineStr">
        <is>
          <t>低</t>
        </is>
      </c>
      <c r="N49" s="25" t="inlineStr">
        <is>
          <t>程序预算</t>
        </is>
      </c>
      <c r="O49" s="24" t="inlineStr">
        <is>
          <t>编辑期间旧实例继续运行，应用失败不破坏旧配置。</t>
        </is>
      </c>
      <c r="P49" s="25" t="inlineStr">
        <is>
          <t>已完成</t>
        </is>
      </c>
      <c r="Q49" s="34" t="n"/>
      <c r="R49" s="24" t="inlineStr">
        <is>
          <t>B15草稿/应用/重启/运行实例切换已交付</t>
        </is>
      </c>
    </row>
    <row r="50" ht="24" customHeight="1" s="1">
      <c r="A50" s="8" t="inlineStr">
        <is>
          <t>P3-009</t>
        </is>
      </c>
      <c r="B50" s="8" t="inlineStr">
        <is>
          <t>阶段3 算法系统</t>
        </is>
      </c>
      <c r="C50" s="8" t="inlineStr">
        <is>
          <t>G3 自动化可配置</t>
        </is>
      </c>
      <c r="D50" s="8" t="inlineStr">
        <is>
          <t>客户端程序</t>
        </is>
      </c>
      <c r="E50" s="8" t="inlineStr">
        <is>
          <t>算法库</t>
        </is>
      </c>
      <c r="F50" s="8" t="inlineStr">
        <is>
          <t>实现模板保存、兼容检查与实例化</t>
        </is>
      </c>
      <c r="G50" s="8" t="inlineStr">
        <is>
          <t>支持系统模板、玩家模板、需求声明和置灰原因。</t>
        </is>
      </c>
      <c r="H50" s="21" t="inlineStr">
        <is>
          <t>P0</t>
        </is>
      </c>
      <c r="I50" s="8" t="inlineStr">
        <is>
          <t>P3-001,P3-002,P0-006</t>
        </is>
      </c>
      <c r="J50" s="21" t="inlineStr">
        <is>
          <t>A3</t>
        </is>
      </c>
      <c r="K50" s="22" t="n">
        <v>10</v>
      </c>
      <c r="L50" s="22" t="n">
        <v>16</v>
      </c>
      <c r="M50" s="21" t="inlineStr">
        <is>
          <t>中</t>
        </is>
      </c>
      <c r="N50" s="21" t="inlineStr">
        <is>
          <t>程序预算</t>
        </is>
      </c>
      <c r="O50" s="8" t="inlineStr">
        <is>
          <t>模板不保存实例绑定，应用时只显示当前机器可满足的模板。</t>
        </is>
      </c>
      <c r="P50" s="21" t="inlineStr">
        <is>
          <t>已完成</t>
        </is>
      </c>
      <c r="Q50" s="33" t="n"/>
      <c r="R50" s="8" t="inlineStr">
        <is>
          <t>B15模板保存/兼容检查/实例化已交付(内存)</t>
        </is>
      </c>
    </row>
    <row r="51" ht="24" customHeight="1" s="1">
      <c r="A51" s="24" t="inlineStr">
        <is>
          <t>P3-010</t>
        </is>
      </c>
      <c r="B51" s="24" t="inlineStr">
        <is>
          <t>阶段3 算法系统</t>
        </is>
      </c>
      <c r="C51" s="24" t="inlineStr">
        <is>
          <t>G3 自动化可配置</t>
        </is>
      </c>
      <c r="D51" s="24" t="inlineStr">
        <is>
          <t>UI与交互</t>
        </is>
      </c>
      <c r="E51" s="24" t="inlineStr">
        <is>
          <t>节点编辑器</t>
        </is>
      </c>
      <c r="F51" s="24" t="inlineStr">
        <is>
          <t>实现节点画布与强类型连线交互</t>
        </is>
      </c>
      <c r="G51" s="24" t="inlineStr">
        <is>
          <t>实现画布移动缩放、节点创建、选择、移动、连线和删除。</t>
        </is>
      </c>
      <c r="H51" s="25" t="inlineStr">
        <is>
          <t>P0</t>
        </is>
      </c>
      <c r="I51" s="24" t="inlineStr">
        <is>
          <t>P0-008,P3-001</t>
        </is>
      </c>
      <c r="J51" s="25" t="inlineStr">
        <is>
          <t>A3</t>
        </is>
      </c>
      <c r="K51" s="26" t="n">
        <v>14</v>
      </c>
      <c r="L51" s="26" t="n">
        <v>18</v>
      </c>
      <c r="M51" s="25" t="inlineStr">
        <is>
          <t>低</t>
        </is>
      </c>
      <c r="N51" s="25" t="inlineStr">
        <is>
          <t>程序预算</t>
        </is>
      </c>
      <c r="O51" s="24" t="inlineStr">
        <is>
          <t>玩家能完成基础模板所需编辑，数据线与事件线视觉明确区分。</t>
        </is>
      </c>
      <c r="P51" s="25" t="inlineStr">
        <is>
          <t>已完成</t>
        </is>
      </c>
      <c r="Q51" s="34" t="n"/>
      <c r="R51" s="24" t="inlineStr">
        <is>
          <t>B20-B30+b32+b33全链路交付：画布节点/端口/边元素渲染、节点库(目录+搜索+分类)、两步强类型连线、选边/选节点删除(级联)、网格落位、拖拽回写、8字段绑定齐全；测试：服务13/13+读模型32/32+绑定3/3+PlayMode端到端1/1全绿</t>
        </is>
      </c>
    </row>
    <row r="52" ht="24" customHeight="1" s="1">
      <c r="A52" s="8" t="inlineStr">
        <is>
          <t>P3-011</t>
        </is>
      </c>
      <c r="B52" s="8" t="inlineStr">
        <is>
          <t>阶段3 算法系统</t>
        </is>
      </c>
      <c r="C52" s="8" t="inlineStr">
        <is>
          <t>G3 自动化可配置</t>
        </is>
      </c>
      <c r="D52" s="8" t="inlineStr">
        <is>
          <t>UI与交互</t>
        </is>
      </c>
      <c r="E52" s="8" t="inlineStr">
        <is>
          <t>节点编辑器</t>
        </is>
      </c>
      <c r="F52" s="8" t="inlineStr">
        <is>
          <t>实现节点库、检查器与问题栏</t>
        </is>
      </c>
      <c r="G52" s="8" t="inlineStr">
        <is>
          <t>提供搜索分类、参数编辑、绑定选择、容量和问题定位。</t>
        </is>
      </c>
      <c r="H52" s="21" t="inlineStr">
        <is>
          <t>P0</t>
        </is>
      </c>
      <c r="I52" s="8" t="inlineStr">
        <is>
          <t>P3-002,P3-010</t>
        </is>
      </c>
      <c r="J52" s="21" t="inlineStr">
        <is>
          <t>A3</t>
        </is>
      </c>
      <c r="K52" s="22" t="n">
        <v>12</v>
      </c>
      <c r="L52" s="22" t="n">
        <v>18</v>
      </c>
      <c r="M52" s="21" t="inlineStr">
        <is>
          <t>低</t>
        </is>
      </c>
      <c r="N52" s="21" t="inlineStr">
        <is>
          <t>程序预算</t>
        </is>
      </c>
      <c r="O52" s="8" t="inlineStr">
        <is>
          <t>玩家可从问题跳到节点并在检查器完成必要参数与绑定。</t>
        </is>
      </c>
      <c r="P52" s="21" t="inlineStr">
        <is>
          <t>已完成</t>
        </is>
      </c>
      <c r="Q52" s="33" t="n"/>
      <c r="R52" s="8" t="inlineStr">
        <is>
          <t>B20/B21/B29+b32+b33全链路交付：节点库(20种类中文目录+搜索过滤+分类状态)、检查器/问题栏随命令经Changed事件同步刷新、端口连接态展示、校验问题定位；测试全绿(见P3-010备注)</t>
        </is>
      </c>
    </row>
    <row r="53" ht="24" customHeight="1" s="1">
      <c r="A53" s="24" t="inlineStr">
        <is>
          <t>P3-012</t>
        </is>
      </c>
      <c r="B53" s="24" t="inlineStr">
        <is>
          <t>阶段3 算法系统</t>
        </is>
      </c>
      <c r="C53" s="24" t="inlineStr">
        <is>
          <t>G3 自动化可配置</t>
        </is>
      </c>
      <c r="D53" s="24" t="inlineStr">
        <is>
          <t>UI与交互</t>
        </is>
      </c>
      <c r="E53" s="24" t="inlineStr">
        <is>
          <t>算法库UI</t>
        </is>
      </c>
      <c r="F53" s="24" t="inlineStr">
        <is>
          <t>实现算法库浏览与应用流程</t>
        </is>
      </c>
      <c r="G53" s="24" t="inlineStr">
        <is>
          <t>显示用途、成本、能力需求、缺失条件和应用入口。</t>
        </is>
      </c>
      <c r="H53" s="25" t="inlineStr">
        <is>
          <t>P0</t>
        </is>
      </c>
      <c r="I53" s="24" t="inlineStr">
        <is>
          <t>P3-009,P3-011</t>
        </is>
      </c>
      <c r="J53" s="25" t="inlineStr">
        <is>
          <t>A3</t>
        </is>
      </c>
      <c r="K53" s="26" t="n">
        <v>8</v>
      </c>
      <c r="L53" s="26" t="n">
        <v>14</v>
      </c>
      <c r="M53" s="25" t="inlineStr">
        <is>
          <t>中</t>
        </is>
      </c>
      <c r="N53" s="25" t="inlineStr">
        <is>
          <t>程序预算</t>
        </is>
      </c>
      <c r="O53" s="24" t="inlineStr">
        <is>
          <t>不兼容模板置灰且说明缺失能力，应用后进入集中绑定。</t>
        </is>
      </c>
      <c r="P53" s="25" t="inlineStr">
        <is>
          <t>已完成</t>
        </is>
      </c>
      <c r="Q53" s="34" t="n"/>
      <c r="R53" s="24" t="inlineStr">
        <is>
          <t>B22/B23库浏览与实例化、B26/B27应用与警告确认、B28组件选择器已交付(读模型测试28/28)</t>
        </is>
      </c>
    </row>
    <row r="54" ht="24" customHeight="1" s="1">
      <c r="A54" s="8" t="inlineStr">
        <is>
          <t>P3-013</t>
        </is>
      </c>
      <c r="B54" s="8" t="inlineStr">
        <is>
          <t>阶段3 算法系统</t>
        </is>
      </c>
      <c r="C54" s="8" t="inlineStr">
        <is>
          <t>G3 自动化可配置</t>
        </is>
      </c>
      <c r="D54" s="8" t="inlineStr">
        <is>
          <t>客户端程序</t>
        </is>
      </c>
      <c r="E54" s="8" t="inlineStr">
        <is>
          <t>诊断</t>
        </is>
      </c>
      <c r="F54" s="8" t="inlineStr">
        <is>
          <t>实现算法运行记录与因果链</t>
        </is>
      </c>
      <c r="G54" s="8" t="inlineStr">
        <is>
          <t>记录采样、求值路径、任务、行为结果和触发时快照。</t>
        </is>
      </c>
      <c r="H54" s="21" t="inlineStr">
        <is>
          <t>P0</t>
        </is>
      </c>
      <c r="I54" s="8" t="inlineStr">
        <is>
          <t>P0-007,P3-003,P3-007</t>
        </is>
      </c>
      <c r="J54" s="21" t="inlineStr">
        <is>
          <t>A3</t>
        </is>
      </c>
      <c r="K54" s="22" t="n">
        <v>12</v>
      </c>
      <c r="L54" s="22" t="n">
        <v>18</v>
      </c>
      <c r="M54" s="21" t="inlineStr">
        <is>
          <t>低</t>
        </is>
      </c>
      <c r="N54" s="21" t="inlineStr">
        <is>
          <t>程序预算</t>
        </is>
      </c>
      <c r="O54" s="8" t="inlineStr">
        <is>
          <t>历史记录可从结果反查来源算法、节点和触发数据。</t>
        </is>
      </c>
      <c r="P54" s="21" t="inlineStr">
        <is>
          <t>已完成</t>
        </is>
      </c>
      <c r="Q54" s="33" t="n"/>
      <c r="R54" s="8" t="inlineStr">
        <is>
          <t>B15算法运行记录与因果链已交付</t>
        </is>
      </c>
    </row>
    <row r="55">
      <c r="A55" s="24" t="inlineStr">
        <is>
          <t>P3-014</t>
        </is>
      </c>
      <c r="B55" s="24" t="inlineStr">
        <is>
          <t>阶段3 算法系统</t>
        </is>
      </c>
      <c r="C55" s="24" t="inlineStr">
        <is>
          <t>G3 自动化可配置</t>
        </is>
      </c>
      <c r="D55" s="24" t="inlineStr">
        <is>
          <t>UI与交互</t>
        </is>
      </c>
      <c r="E55" s="24" t="inlineStr">
        <is>
          <t>诊断UI</t>
        </is>
      </c>
      <c r="F55" s="24" t="inlineStr">
        <is>
          <t>实现诊断模式与路径高亮</t>
        </is>
      </c>
      <c r="G55" s="24" t="inlineStr">
        <is>
          <t>显示当时值／当前值、执行分支、等待和失败节点。</t>
        </is>
      </c>
      <c r="H55" s="25" t="inlineStr">
        <is>
          <t>P1</t>
        </is>
      </c>
      <c r="I55" s="24" t="inlineStr">
        <is>
          <t>P3-011,P3-013</t>
        </is>
      </c>
      <c r="J55" s="25" t="inlineStr">
        <is>
          <t>A3</t>
        </is>
      </c>
      <c r="K55" s="26" t="n">
        <v>12</v>
      </c>
      <c r="L55" s="26" t="n">
        <v>18</v>
      </c>
      <c r="M55" s="25" t="inlineStr">
        <is>
          <t>低</t>
        </is>
      </c>
      <c r="N55" s="25" t="inlineStr">
        <is>
          <t>程序预算</t>
        </is>
      </c>
      <c r="O55" s="24" t="inlineStr">
        <is>
          <t>选择一条历史记录后能在同一画布还原实际执行路径。</t>
        </is>
      </c>
      <c r="P55" s="25" t="inlineStr">
        <is>
          <t>已完成</t>
        </is>
      </c>
      <c r="Q55" s="34" t="n"/>
      <c r="R55" s="24" t="inlineStr">
        <is>
          <t>B21执行路径高亮(已执行/失败节点标记)与B31诊断按值细节(当时值vs默认值)已交付</t>
        </is>
      </c>
    </row>
    <row r="56" ht="25.5" customHeight="1" s="1">
      <c r="A56" s="8" t="inlineStr">
        <is>
          <t>P3-015</t>
        </is>
      </c>
      <c r="B56" s="8" t="inlineStr">
        <is>
          <t>阶段3 算法系统</t>
        </is>
      </c>
      <c r="C56" s="8" t="inlineStr">
        <is>
          <t>G3 自动化可配置</t>
        </is>
      </c>
      <c r="D56" s="8" t="inlineStr">
        <is>
          <t>配置与内容</t>
        </is>
      </c>
      <c r="E56" s="8" t="inlineStr">
        <is>
          <t>初始模板</t>
        </is>
      </c>
      <c r="F56" s="8" t="inlineStr">
        <is>
          <t>录入五套初始算法模板</t>
        </is>
      </c>
      <c r="G56" s="8" t="inlineStr">
        <is>
          <t>录入灌溉、农田、林地、矿山和固定路线运输模板。</t>
        </is>
      </c>
      <c r="H56" s="21" t="inlineStr">
        <is>
          <t>P0</t>
        </is>
      </c>
      <c r="I56" s="8" t="inlineStr">
        <is>
          <t>P3-004,P3-005,P3-006,P3-007,P3-009</t>
        </is>
      </c>
      <c r="J56" s="21" t="inlineStr">
        <is>
          <t>A3</t>
        </is>
      </c>
      <c r="K56" s="22" t="n">
        <v>10</v>
      </c>
      <c r="L56" s="22" t="n">
        <v>16</v>
      </c>
      <c r="M56" s="21" t="inlineStr">
        <is>
          <t>中</t>
        </is>
      </c>
      <c r="N56" s="21" t="inlineStr">
        <is>
          <t>程序预算</t>
        </is>
      </c>
      <c r="O56" s="8" t="inlineStr">
        <is>
          <t>五套模板结构有效、成本符合文档且不绑定具体实例。</t>
        </is>
      </c>
      <c r="P56" s="21" t="inlineStr">
        <is>
          <t>已完成</t>
        </is>
      </c>
      <c r="Q56" s="33" t="n"/>
      <c r="R56" s="8" t="inlineStr">
        <is>
          <t>五套系统模板按DEC-202成本定稿经InitialAlgorithmTemplates.Seed接入WorldSession</t>
        </is>
      </c>
    </row>
    <row r="57" ht="24" customHeight="1" s="1">
      <c r="A57" s="24" t="inlineStr">
        <is>
          <t>G3-001</t>
        </is>
      </c>
      <c r="B57" s="24" t="inlineStr">
        <is>
          <t>阶段3 算法系统</t>
        </is>
      </c>
      <c r="C57" s="24" t="inlineStr">
        <is>
          <t>G3 自动化可配置</t>
        </is>
      </c>
      <c r="D57" s="24" t="inlineStr">
        <is>
          <t>集成与阶段验收</t>
        </is>
      </c>
      <c r="E57" s="24" t="inlineStr">
        <is>
          <t>阶段验收</t>
        </is>
      </c>
      <c r="F57" s="24" t="inlineStr">
        <is>
          <t>算法配置闭环验收</t>
        </is>
      </c>
      <c r="G57" s="24" t="inlineStr">
        <is>
          <t>确认模板应用、绑定、运行、修改、排队和诊断形成闭环。</t>
        </is>
      </c>
      <c r="H57" s="25" t="inlineStr">
        <is>
          <t>P0</t>
        </is>
      </c>
      <c r="I57" s="24" t="inlineStr">
        <is>
          <t>P3-008,P3-010,P3-011,P3-012,P3-013,P3-015</t>
        </is>
      </c>
      <c r="J57" s="25" t="inlineStr">
        <is>
          <t>G3</t>
        </is>
      </c>
      <c r="K57" s="26" t="n">
        <v>8</v>
      </c>
      <c r="L57" s="26" t="n">
        <v>12</v>
      </c>
      <c r="M57" s="25" t="inlineStr">
        <is>
          <t>低</t>
        </is>
      </c>
      <c r="N57" s="25" t="inlineStr">
        <is>
          <t>程序预算</t>
        </is>
      </c>
      <c r="O57" s="24" t="inlineStr">
        <is>
          <t>玩家能从算法库应用模板，使机器产生可追踪任务，并安全修改参数。</t>
        </is>
      </c>
      <c r="P57" s="25" t="inlineStr">
        <is>
          <t>未开始</t>
        </is>
      </c>
      <c r="Q57" s="34" t="n"/>
      <c r="R57" s="24" t="n"/>
    </row>
    <row r="58" ht="72" customHeight="1" s="1">
      <c r="A58" s="8" t="inlineStr">
        <is>
          <t>P4-001</t>
        </is>
      </c>
      <c r="B58" s="8" t="inlineStr">
        <is>
          <t>阶段4 生产物流</t>
        </is>
      </c>
      <c r="C58" s="8" t="inlineStr">
        <is>
          <t>G4 基础生产闭环</t>
        </is>
      </c>
      <c r="D58" s="8" t="inlineStr">
        <is>
          <t>客户端程序</t>
        </is>
      </c>
      <c r="E58" s="8" t="inlineStr">
        <is>
          <t>资源缓存</t>
        </is>
      </c>
      <c r="F58" s="8" t="inlineStr">
        <is>
          <t>实现统一资源缓存与预留</t>
        </is>
      </c>
      <c r="G58" s="8" t="inlineStr">
        <is>
          <t>有限缓存支持容量、预留、原子提交及事件；木材／矿石地面堆同类合并，视觉封顶不构成输出满。</t>
        </is>
      </c>
      <c r="H58" s="21" t="inlineStr">
        <is>
          <t>P0</t>
        </is>
      </c>
      <c r="I58" s="8" t="inlineStr">
        <is>
          <t>G3-001,P1-001</t>
        </is>
      </c>
      <c r="J58" s="21" t="inlineStr">
        <is>
          <t>A4</t>
        </is>
      </c>
      <c r="K58" s="22" t="n">
        <v>10</v>
      </c>
      <c r="L58" s="22" t="n">
        <v>16</v>
      </c>
      <c r="M58" s="21" t="inlineStr">
        <is>
          <t>中</t>
        </is>
      </c>
      <c r="N58" s="21" t="inlineStr">
        <is>
          <t>程序预算</t>
        </is>
      </c>
      <c r="O58" s="8" t="inlineStr">
        <is>
          <t>四类资源点按各自规则阻塞或溢出，不复制或丢失已提交单位。</t>
        </is>
      </c>
      <c r="P58" s="21" t="inlineStr">
        <is>
          <t>未开始</t>
        </is>
      </c>
      <c r="Q58" s="33" t="n"/>
      <c r="R58" s="8" t="inlineStr">
        <is>
          <t>2026-09-10设计同步，未据此变更实现状态。</t>
        </is>
      </c>
    </row>
    <row r="59" ht="72" customHeight="1" s="1">
      <c r="A59" s="24" t="inlineStr">
        <is>
          <t>P4-002</t>
        </is>
      </c>
      <c r="B59" s="24" t="inlineStr">
        <is>
          <t>阶段4 生产物流</t>
        </is>
      </c>
      <c r="C59" s="24" t="inlineStr">
        <is>
          <t>G4 基础生产闭环</t>
        </is>
      </c>
      <c r="D59" s="24" t="inlineStr">
        <is>
          <t>客户端程序</t>
        </is>
      </c>
      <c r="E59" s="24" t="inlineStr">
        <is>
          <t>资源点</t>
        </is>
      </c>
      <c r="F59" s="24" t="inlineStr">
        <is>
          <t>实现人工林逐树生长与采集</t>
        </is>
      </c>
      <c r="G59" s="24" t="inlineStr">
        <is>
          <t>逐树生长、砍伐与倒下状态，落稳后生成可合并木材堆；不使用固定周期释放作为采集门禁。</t>
        </is>
      </c>
      <c r="H59" s="25" t="inlineStr">
        <is>
          <t>P0</t>
        </is>
      </c>
      <c r="I59" s="24" t="inlineStr">
        <is>
          <t>P4-001,P0-005</t>
        </is>
      </c>
      <c r="J59" s="25" t="inlineStr">
        <is>
          <t>A4</t>
        </is>
      </c>
      <c r="K59" s="26" t="n">
        <v>8</v>
      </c>
      <c r="L59" s="26" t="n">
        <v>12</v>
      </c>
      <c r="M59" s="25" t="inlineStr">
        <is>
          <t>中</t>
        </is>
      </c>
      <c r="N59" s="25" t="inlineStr">
        <is>
          <t>程序预算</t>
        </is>
      </c>
      <c r="O59" s="24" t="inlineStr">
        <is>
          <t>树木状态与木材产出一致；切割工具由用户提供，表现物理不决定资源结算。</t>
        </is>
      </c>
      <c r="P59" s="25" t="inlineStr">
        <is>
          <t>未开始</t>
        </is>
      </c>
      <c r="Q59" s="34" t="n"/>
      <c r="R59" s="24" t="inlineStr">
        <is>
          <t>2026-09-10设计同步，未据此变更实现状态。</t>
        </is>
      </c>
    </row>
    <row r="60" ht="72" customHeight="1" s="1">
      <c r="A60" s="8" t="inlineStr">
        <is>
          <t>P4-003</t>
        </is>
      </c>
      <c r="B60" s="8" t="inlineStr">
        <is>
          <t>阶段4 生产物流</t>
        </is>
      </c>
      <c r="C60" s="8" t="inlineStr">
        <is>
          <t>G4 基础生产闭环</t>
        </is>
      </c>
      <c r="D60" s="8" t="inlineStr">
        <is>
          <t>客户端程序</t>
        </is>
      </c>
      <c r="E60" s="8" t="inlineStr">
        <is>
          <t>资源点</t>
        </is>
      </c>
      <c r="F60" s="8" t="inlineStr">
        <is>
          <t>实现矿脉储量、开采与换日清场</t>
        </is>
      </c>
      <c r="G60" s="8" t="inlineStr">
        <is>
          <t>有限总储量100；有效伤害／MiningResistance决定采矿速度，无定时释放；地表矿石随储量稀疏，耗尽后下次游戏内换日清退附属设施。</t>
        </is>
      </c>
      <c r="H60" s="21" t="inlineStr">
        <is>
          <t>P0</t>
        </is>
      </c>
      <c r="I60" s="8" t="inlineStr">
        <is>
          <t>P4-001,P0-005</t>
        </is>
      </c>
      <c r="J60" s="21" t="inlineStr">
        <is>
          <t>A4</t>
        </is>
      </c>
      <c r="K60" s="22" t="n">
        <v>8</v>
      </c>
      <c r="L60" s="22" t="n">
        <v>14</v>
      </c>
      <c r="M60" s="21" t="inlineStr">
        <is>
          <t>中</t>
        </is>
      </c>
      <c r="N60" s="21" t="inlineStr">
        <is>
          <t>程序预算</t>
        </is>
      </c>
      <c r="O60" s="8" t="inlineStr">
        <is>
          <t>储量与产出守恒；地面堆封顶不阻塞；清场释放建造占用但保留遗留货物和无关玩家设施。</t>
        </is>
      </c>
      <c r="P60" s="21" t="inlineStr">
        <is>
          <t>未开始</t>
        </is>
      </c>
      <c r="Q60" s="33" t="n"/>
      <c r="R60" s="8" t="inlineStr">
        <is>
          <t>2026-09-10设计同步，未据此变更实现状态。</t>
        </is>
      </c>
    </row>
    <row r="61" ht="72" customHeight="1" s="1">
      <c r="A61" s="24" t="inlineStr">
        <is>
          <t>P4-004</t>
        </is>
      </c>
      <c r="B61" s="24" t="inlineStr">
        <is>
          <t>阶段4 生产物流</t>
        </is>
      </c>
      <c r="C61" s="24" t="inlineStr">
        <is>
          <t>G4 基础生产闭环</t>
        </is>
      </c>
      <c r="D61" s="24" t="inlineStr">
        <is>
          <t>客户端程序</t>
        </is>
      </c>
      <c r="E61" s="24" t="inlineStr">
        <is>
          <t>资源点</t>
        </is>
      </c>
      <c r="F61" s="24" t="inlineStr">
        <is>
          <t>实现无限水域与岸边水泵生产</t>
        </is>
      </c>
      <c r="G61" s="24" t="inlineStr">
        <is>
          <t>水域数量字段表达无限；水泵按建筑供电／启停合同抽水，50水／4分钟、暂存100为试玩初值，满载停产、条件恢复继续。</t>
        </is>
      </c>
      <c r="H61" s="25" t="inlineStr">
        <is>
          <t>P0</t>
        </is>
      </c>
      <c r="I61" s="24" t="inlineStr">
        <is>
          <t>P4-001,P0-005,P6-001,P5-009</t>
        </is>
      </c>
      <c r="J61" s="25" t="inlineStr">
        <is>
          <t>A4</t>
        </is>
      </c>
      <c r="K61" s="26" t="n">
        <v>6</v>
      </c>
      <c r="L61" s="26" t="n">
        <v>10</v>
      </c>
      <c r="M61" s="25" t="inlineStr">
        <is>
          <t>中</t>
        </is>
      </c>
      <c r="N61" s="25" t="inlineStr">
        <is>
          <t>程序预算</t>
        </is>
      </c>
      <c r="O61" s="24" t="inlineStr">
        <is>
          <t>水域不耗尽且不自行产出；水泵产物可搬运、满停可恢复；包装不新增空桶经济。</t>
        </is>
      </c>
      <c r="P61" s="25" t="inlineStr">
        <is>
          <t>未开始</t>
        </is>
      </c>
      <c r="Q61" s="34" t="n"/>
      <c r="R61" s="24" t="inlineStr">
        <is>
          <t>2026-09-10设计同步，未据此变更实现状态。</t>
        </is>
      </c>
    </row>
    <row r="62" ht="24" customHeight="1" s="1">
      <c r="A62" s="8" t="inlineStr">
        <is>
          <t>P4-005</t>
        </is>
      </c>
      <c r="B62" s="8" t="inlineStr">
        <is>
          <t>阶段4 生产物流</t>
        </is>
      </c>
      <c r="C62" s="8" t="inlineStr">
        <is>
          <t>G4 基础生产闭环</t>
        </is>
      </c>
      <c r="D62" s="8" t="inlineStr">
        <is>
          <t>客户端程序</t>
        </is>
      </c>
      <c r="E62" s="8" t="inlineStr">
        <is>
          <t>农业</t>
        </is>
      </c>
      <c r="F62" s="8" t="inlineStr">
        <is>
          <t>实现农田批次状态机</t>
        </is>
      </c>
      <c r="G62" s="8" t="inlineStr">
        <is>
          <t>实现空置、播种、生长、成熟、收获、待清理和清理。</t>
        </is>
      </c>
      <c r="H62" s="21" t="inlineStr">
        <is>
          <t>P0</t>
        </is>
      </c>
      <c r="I62" s="8" t="inlineStr">
        <is>
          <t>P4-001,P0-005</t>
        </is>
      </c>
      <c r="J62" s="21" t="inlineStr">
        <is>
          <t>A4</t>
        </is>
      </c>
      <c r="K62" s="22" t="n">
        <v>12</v>
      </c>
      <c r="L62" s="22" t="n">
        <v>18</v>
      </c>
      <c r="M62" s="21" t="inlineStr">
        <is>
          <t>低</t>
        </is>
      </c>
      <c r="N62" s="21" t="inlineStr">
        <is>
          <t>程序预算</t>
        </is>
      </c>
      <c r="O62" s="8" t="inlineStr">
        <is>
          <t>一个农田只运行一个作物批次，分批播种和部分收获状态一致。</t>
        </is>
      </c>
      <c r="P62" s="21" t="inlineStr">
        <is>
          <t>未开始</t>
        </is>
      </c>
      <c r="Q62" s="33" t="n"/>
      <c r="R62" s="8" t="n"/>
    </row>
    <row r="63" ht="72" customHeight="1" s="1">
      <c r="A63" s="24" t="inlineStr">
        <is>
          <t>P4-006</t>
        </is>
      </c>
      <c r="B63" s="24" t="inlineStr">
        <is>
          <t>阶段4 生产物流</t>
        </is>
      </c>
      <c r="C63" s="24" t="inlineStr">
        <is>
          <t>G4 基础生产闭环</t>
        </is>
      </c>
      <c r="D63" s="24" t="inlineStr">
        <is>
          <t>客户端程序</t>
        </is>
      </c>
      <c r="E63" s="24" t="inlineStr">
        <is>
          <t>农业</t>
        </is>
      </c>
      <c r="F63" s="24" t="inlineStr">
        <is>
          <t>实现逐土地湿度、适宜度与产量</t>
        </is>
      </c>
      <c r="G63" s="24" t="inlineStr">
        <is>
          <t>每个土地单元对应一个种植位，独立湿度与播种无关；每0.2秒注水、每秒渗透／蒸发／吸收，先逐格计算再汇总整田批次。</t>
        </is>
      </c>
      <c r="H63" s="25" t="inlineStr">
        <is>
          <t>P0</t>
        </is>
      </c>
      <c r="I63" s="24" t="inlineStr">
        <is>
          <t>P4-005,P0-006</t>
        </is>
      </c>
      <c r="J63" s="25" t="inlineStr">
        <is>
          <t>A4</t>
        </is>
      </c>
      <c r="K63" s="26" t="n">
        <v>12</v>
      </c>
      <c r="L63" s="26" t="n">
        <v>18</v>
      </c>
      <c r="M63" s="25" t="inlineStr">
        <is>
          <t>低</t>
        </is>
      </c>
      <c r="N63" s="25" t="inlineStr">
        <is>
          <t>程序预算</t>
        </is>
      </c>
      <c r="O63" s="24" t="inlineStr">
        <is>
          <t>空地仍有湿度，播种／收获／清理不重置；数据与作物一一对应，不以平均湿度替代逐格计算。</t>
        </is>
      </c>
      <c r="P63" s="25" t="inlineStr">
        <is>
          <t>未开始</t>
        </is>
      </c>
      <c r="Q63" s="34" t="n"/>
      <c r="R63" s="24" t="inlineStr">
        <is>
          <t>2026-09-10设计同步，未据此变更实现状态。</t>
        </is>
      </c>
    </row>
    <row r="64" ht="24" customHeight="1" s="1">
      <c r="A64" s="8" t="inlineStr">
        <is>
          <t>P4-007</t>
        </is>
      </c>
      <c r="B64" s="8" t="inlineStr">
        <is>
          <t>阶段4 生产物流</t>
        </is>
      </c>
      <c r="C64" s="8" t="inlineStr">
        <is>
          <t>G4 基础生产闭环</t>
        </is>
      </c>
      <c r="D64" s="8" t="inlineStr">
        <is>
          <t>客户端程序</t>
        </is>
      </c>
      <c r="E64" s="8" t="inlineStr">
        <is>
          <t>效应器</t>
        </is>
      </c>
      <c r="F64" s="8" t="inlineStr">
        <is>
          <t>实现机械臂农业行为</t>
        </is>
      </c>
      <c r="G64" s="8" t="inlineStr">
        <is>
          <t>实现播种、收获、清理的准备、单位结算和安全中断。</t>
        </is>
      </c>
      <c r="H64" s="21" t="inlineStr">
        <is>
          <t>P0</t>
        </is>
      </c>
      <c r="I64" s="8" t="inlineStr">
        <is>
          <t>P2-005,P4-005,P4-006</t>
        </is>
      </c>
      <c r="J64" s="21" t="inlineStr">
        <is>
          <t>A4</t>
        </is>
      </c>
      <c r="K64" s="22" t="n">
        <v>12</v>
      </c>
      <c r="L64" s="22" t="n">
        <v>18</v>
      </c>
      <c r="M64" s="21" t="inlineStr">
        <is>
          <t>低</t>
        </is>
      </c>
      <c r="N64" s="21" t="inlineStr">
        <is>
          <t>程序预算</t>
        </is>
      </c>
      <c r="O64" s="8" t="inlineStr">
        <is>
          <t>动作速度、资源扣除、产物生成和断电恢复符合结算规格。</t>
        </is>
      </c>
      <c r="P64" s="21" t="inlineStr">
        <is>
          <t>未开始</t>
        </is>
      </c>
      <c r="Q64" s="33" t="n"/>
      <c r="R64" s="8" t="n"/>
    </row>
    <row r="65" ht="72" customHeight="1" s="1">
      <c r="A65" s="24" t="inlineStr">
        <is>
          <t>P4-008</t>
        </is>
      </c>
      <c r="B65" s="24" t="inlineStr">
        <is>
          <t>阶段4 生产物流</t>
        </is>
      </c>
      <c r="C65" s="24" t="inlineStr">
        <is>
          <t>G4 基础生产闭环</t>
        </is>
      </c>
      <c r="D65" s="24" t="inlineStr">
        <is>
          <t>客户端程序</t>
        </is>
      </c>
      <c r="E65" s="24" t="inlineStr">
        <is>
          <t>效应器</t>
        </is>
      </c>
      <c r="F65" s="24" t="inlineStr">
        <is>
          <t>实现水枪灌溉行为</t>
        </is>
      </c>
      <c r="G65" s="24" t="inlineStr">
        <is>
          <t>目标坐标与计划实际入田水量；初速度／俯仰角推导弹道与派生流量，智能瞄准沿用升级合同，取消／断电／阻挡立即关阀。</t>
        </is>
      </c>
      <c r="H65" s="25" t="inlineStr">
        <is>
          <t>P0</t>
        </is>
      </c>
      <c r="I65" s="24" t="inlineStr">
        <is>
          <t>P2-005,P4-006</t>
        </is>
      </c>
      <c r="J65" s="25" t="inlineStr">
        <is>
          <t>A4</t>
        </is>
      </c>
      <c r="K65" s="26" t="n">
        <v>8</v>
      </c>
      <c r="L65" s="26" t="n">
        <v>14</v>
      </c>
      <c r="M65" s="25" t="inlineStr">
        <is>
          <t>中</t>
        </is>
      </c>
      <c r="N65" s="25" t="inlineStr">
        <is>
          <t>程序预算</t>
        </is>
      </c>
      <c r="O65" s="24" t="inlineStr">
        <is>
          <t>无固定射程；逐格实际注水守恒，开阀前预演、恢复重验，部分完成可诊断。</t>
        </is>
      </c>
      <c r="P65" s="25" t="inlineStr">
        <is>
          <t>未开始</t>
        </is>
      </c>
      <c r="Q65" s="34" t="n"/>
      <c r="R65" s="24" t="inlineStr">
        <is>
          <t>2026-09-10设计同步，未据此变更实现状态。</t>
        </is>
      </c>
    </row>
    <row r="66" ht="72" customHeight="1" s="1">
      <c r="A66" s="8" t="inlineStr">
        <is>
          <t>P4-009</t>
        </is>
      </c>
      <c r="B66" s="8" t="inlineStr">
        <is>
          <t>阶段4 生产物流</t>
        </is>
      </c>
      <c r="C66" s="8" t="inlineStr">
        <is>
          <t>G4 基础生产闭环</t>
        </is>
      </c>
      <c r="D66" s="8" t="inlineStr">
        <is>
          <t>客户端程序</t>
        </is>
      </c>
      <c r="E66" s="8" t="inlineStr">
        <is>
          <t>效应器</t>
        </is>
      </c>
      <c r="F66" s="8" t="inlineStr">
        <is>
          <t>实现切割与钻探行为</t>
        </is>
      </c>
      <c r="G66" s="8" t="inlineStr">
        <is>
          <t>切割按逐树动作合同；钻探在有效区域停稳朝下作业，功率驱动伤害与耗电，产物进入地面堆；不要求岩壁接触或临时缓存预留。</t>
        </is>
      </c>
      <c r="H66" s="21" t="inlineStr">
        <is>
          <t>P0</t>
        </is>
      </c>
      <c r="I66" s="8" t="inlineStr">
        <is>
          <t>P2-005,P4-002,P4-003</t>
        </is>
      </c>
      <c r="J66" s="21" t="inlineStr">
        <is>
          <t>A4</t>
        </is>
      </c>
      <c r="K66" s="22" t="n">
        <v>10</v>
      </c>
      <c r="L66" s="22" t="n">
        <v>16</v>
      </c>
      <c r="M66" s="21" t="inlineStr">
        <is>
          <t>中</t>
        </is>
      </c>
      <c r="N66" s="21" t="inlineStr">
        <is>
          <t>程序预算</t>
        </is>
      </c>
      <c r="O66" s="8" t="inlineStr">
        <is>
          <t>安全中断、功率与产出、资源守恒符合DEC-183／184／187／192，不复用旧固定每秒产速。</t>
        </is>
      </c>
      <c r="P66" s="21" t="inlineStr">
        <is>
          <t>未开始</t>
        </is>
      </c>
      <c r="Q66" s="33" t="n"/>
      <c r="R66" s="8" t="inlineStr">
        <is>
          <t>2026-09-10设计同步，未据此变更实现状态。</t>
        </is>
      </c>
    </row>
    <row r="67" ht="24" customHeight="1" s="1">
      <c r="A67" s="24" t="inlineStr">
        <is>
          <t>P4-010</t>
        </is>
      </c>
      <c r="B67" s="24" t="inlineStr">
        <is>
          <t>阶段4 生产物流</t>
        </is>
      </c>
      <c r="C67" s="24" t="inlineStr">
        <is>
          <t>G4 基础生产闭环</t>
        </is>
      </c>
      <c r="D67" s="24" t="inlineStr">
        <is>
          <t>客户端程序</t>
        </is>
      </c>
      <c r="E67" s="24" t="inlineStr">
        <is>
          <t>物流</t>
        </is>
      </c>
      <c r="F67" s="24" t="inlineStr">
        <is>
          <t>实现机械臂统一资源转移</t>
        </is>
      </c>
      <c r="G67" s="24" t="inlineStr">
        <is>
          <t>支持缓存、货舱、仓库和工坊输出之间逐单位原子转移。</t>
        </is>
      </c>
      <c r="H67" s="25" t="inlineStr">
        <is>
          <t>P0</t>
        </is>
      </c>
      <c r="I67" s="24" t="inlineStr">
        <is>
          <t>P2-005,P4-001</t>
        </is>
      </c>
      <c r="J67" s="25" t="inlineStr">
        <is>
          <t>A4</t>
        </is>
      </c>
      <c r="K67" s="26" t="n">
        <v>12</v>
      </c>
      <c r="L67" s="26" t="n">
        <v>18</v>
      </c>
      <c r="M67" s="25" t="inlineStr">
        <is>
          <t>低</t>
        </is>
      </c>
      <c r="N67" s="25" t="inlineStr">
        <is>
          <t>程序预算</t>
        </is>
      </c>
      <c r="O67" s="24" t="inlineStr">
        <is>
          <t>并发搬运无复制，来源不足和目标容量不足返回实际转移量。</t>
        </is>
      </c>
      <c r="P67" s="25" t="inlineStr">
        <is>
          <t>未开始</t>
        </is>
      </c>
      <c r="Q67" s="34" t="n"/>
      <c r="R67" s="24" t="n"/>
    </row>
    <row r="68" ht="24" customHeight="1" s="1">
      <c r="A68" s="8" t="inlineStr">
        <is>
          <t>P4-011</t>
        </is>
      </c>
      <c r="B68" s="8" t="inlineStr">
        <is>
          <t>阶段4 生产物流</t>
        </is>
      </c>
      <c r="C68" s="8" t="inlineStr">
        <is>
          <t>G4 基础生产闭环</t>
        </is>
      </c>
      <c r="D68" s="8" t="inlineStr">
        <is>
          <t>客户端程序</t>
        </is>
      </c>
      <c r="E68" s="8" t="inlineStr">
        <is>
          <t>物流</t>
        </is>
      </c>
      <c r="F68" s="8" t="inlineStr">
        <is>
          <t>实现固定路线运输组合任务</t>
        </is>
      </c>
      <c r="G68" s="8" t="inlineStr">
        <is>
          <t>实现驻守来源、达量出发、装载、交付、返回和容量重试。</t>
        </is>
      </c>
      <c r="H68" s="21" t="inlineStr">
        <is>
          <t>P0</t>
        </is>
      </c>
      <c r="I68" s="8" t="inlineStr">
        <is>
          <t>P3-007,P4-010,P2-008</t>
        </is>
      </c>
      <c r="J68" s="21" t="inlineStr">
        <is>
          <t>A4</t>
        </is>
      </c>
      <c r="K68" s="22" t="n">
        <v>12</v>
      </c>
      <c r="L68" s="22" t="n">
        <v>18</v>
      </c>
      <c r="M68" s="21" t="inlineStr">
        <is>
          <t>低</t>
        </is>
      </c>
      <c r="N68" s="21" t="inlineStr">
        <is>
          <t>程序预算</t>
        </is>
      </c>
      <c r="O68" s="8" t="inlineStr">
        <is>
          <t>运输机能按模板长期循环，已有货物时优先交付且不会重复建任务。</t>
        </is>
      </c>
      <c r="P68" s="21" t="inlineStr">
        <is>
          <t>未开始</t>
        </is>
      </c>
      <c r="Q68" s="33" t="n"/>
      <c r="R68" s="8" t="n"/>
    </row>
    <row r="69" ht="24" customHeight="1" s="1">
      <c r="A69" s="24" t="inlineStr">
        <is>
          <t>P4-012</t>
        </is>
      </c>
      <c r="B69" s="24" t="inlineStr">
        <is>
          <t>阶段4 生产物流</t>
        </is>
      </c>
      <c r="C69" s="24" t="inlineStr">
        <is>
          <t>G4 基础生产闭环</t>
        </is>
      </c>
      <c r="D69" s="24" t="inlineStr">
        <is>
          <t>客户端程序</t>
        </is>
      </c>
      <c r="E69" s="24" t="inlineStr">
        <is>
          <t>仓库</t>
        </is>
      </c>
      <c r="F69" s="24" t="inlineStr">
        <is>
          <t>实现仓库入库与自动分类</t>
        </is>
      </c>
      <c r="G69" s="24" t="inlineStr">
        <is>
          <t>通用资源进全局余额、组件进组件库、载体进机器库、实体物品留仓库。</t>
        </is>
      </c>
      <c r="H69" s="25" t="inlineStr">
        <is>
          <t>P0</t>
        </is>
      </c>
      <c r="I69" s="24" t="inlineStr">
        <is>
          <t>P4-010,P2-001,P2-002</t>
        </is>
      </c>
      <c r="J69" s="25" t="inlineStr">
        <is>
          <t>A4</t>
        </is>
      </c>
      <c r="K69" s="26" t="n">
        <v>12</v>
      </c>
      <c r="L69" s="26" t="n">
        <v>18</v>
      </c>
      <c r="M69" s="25" t="inlineStr">
        <is>
          <t>低</t>
        </is>
      </c>
      <c r="N69" s="25" t="inlineStr">
        <is>
          <t>程序预算</t>
        </is>
      </c>
      <c r="O69" s="24" t="inlineStr">
        <is>
          <t>每种入库对象只进入一个正确去向并留下分类记录。</t>
        </is>
      </c>
      <c r="P69" s="25" t="inlineStr">
        <is>
          <t>未开始</t>
        </is>
      </c>
      <c r="Q69" s="34" t="n"/>
      <c r="R69" s="24" t="n"/>
    </row>
    <row r="70" ht="24.75" customHeight="1" s="1">
      <c r="A70" s="8" t="inlineStr">
        <is>
          <t>P4-013</t>
        </is>
      </c>
      <c r="B70" s="8" t="inlineStr">
        <is>
          <t>阶段4 生产物流</t>
        </is>
      </c>
      <c r="C70" s="8" t="inlineStr">
        <is>
          <t>G4 基础生产闭环</t>
        </is>
      </c>
      <c r="D70" s="8" t="inlineStr">
        <is>
          <t>客户端程序</t>
        </is>
      </c>
      <c r="E70" s="8" t="inlineStr">
        <is>
          <t>库存</t>
        </is>
      </c>
      <c r="F70" s="8" t="inlineStr">
        <is>
          <t>实现全局资源与实体仓库库存</t>
        </is>
      </c>
      <c r="G70" s="8" t="inlineStr">
        <is>
          <t>支持五种全局资源、120实体容量、堆叠和位置归属。</t>
        </is>
      </c>
      <c r="H70" s="21" t="inlineStr">
        <is>
          <t>P0</t>
        </is>
      </c>
      <c r="I70" s="8" t="inlineStr">
        <is>
          <t>P4-012,P0-006</t>
        </is>
      </c>
      <c r="J70" s="21" t="inlineStr">
        <is>
          <t>A4</t>
        </is>
      </c>
      <c r="K70" s="22" t="n">
        <v>10</v>
      </c>
      <c r="L70" s="22" t="n">
        <v>16</v>
      </c>
      <c r="M70" s="21" t="inlineStr">
        <is>
          <t>中</t>
        </is>
      </c>
      <c r="N70" s="21" t="inlineStr">
        <is>
          <t>程序预算</t>
        </is>
      </c>
      <c r="O70" s="8" t="inlineStr">
        <is>
          <t>通用资源不占容量，实体物品不能跨仓库瞬移。</t>
        </is>
      </c>
      <c r="P70" s="21" t="inlineStr">
        <is>
          <t>未开始</t>
        </is>
      </c>
      <c r="Q70" s="33" t="n"/>
      <c r="R70" s="8" t="n"/>
    </row>
    <row r="71" ht="72" customHeight="1" s="1">
      <c r="A71" s="24" t="inlineStr">
        <is>
          <t>P4-014</t>
        </is>
      </c>
      <c r="B71" s="24" t="inlineStr">
        <is>
          <t>阶段4 生产物流</t>
        </is>
      </c>
      <c r="C71" s="24" t="inlineStr">
        <is>
          <t>G4 基础生产闭环</t>
        </is>
      </c>
      <c r="D71" s="24" t="inlineStr">
        <is>
          <t>UI与交互</t>
        </is>
      </c>
      <c r="E71" s="24" t="inlineStr">
        <is>
          <t>资源点UI</t>
        </is>
      </c>
      <c r="F71" s="24" t="inlineStr">
        <is>
          <t>实现四类资源点现场面板</t>
        </is>
      </c>
      <c r="G71" s="24" t="inlineStr">
        <is>
          <t>农田逐格数据、人工林逐树汇总、矿脉剩余总量、无限水域与水泵运行／暂存状态；按既有UI样式补齐，不重做整套界面。</t>
        </is>
      </c>
      <c r="H71" s="25" t="inlineStr">
        <is>
          <t>P0</t>
        </is>
      </c>
      <c r="I71" s="24" t="inlineStr">
        <is>
          <t>P1-003,P4-002,P4-003,P4-004,P4-006</t>
        </is>
      </c>
      <c r="J71" s="25" t="inlineStr">
        <is>
          <t>A4</t>
        </is>
      </c>
      <c r="K71" s="26" t="n">
        <v>12</v>
      </c>
      <c r="L71" s="26" t="n">
        <v>18</v>
      </c>
      <c r="M71" s="25" t="inlineStr">
        <is>
          <t>中</t>
        </is>
      </c>
      <c r="N71" s="25" t="inlineStr">
        <is>
          <t>程序预算</t>
        </is>
      </c>
      <c r="O71" s="24" t="inlineStr">
        <is>
          <t>每类资源点只显示允许信息，未知最佳区间不泄露。</t>
        </is>
      </c>
      <c r="P71" s="25" t="inlineStr">
        <is>
          <t>未开始</t>
        </is>
      </c>
      <c r="Q71" s="34" t="n"/>
      <c r="R71" s="24" t="inlineStr">
        <is>
          <t>2026-09-10设计同步，未据此变更实现状态。</t>
        </is>
      </c>
    </row>
    <row r="72" ht="24" customHeight="1" s="1">
      <c r="A72" s="8" t="inlineStr">
        <is>
          <t>P4-015</t>
        </is>
      </c>
      <c r="B72" s="8" t="inlineStr">
        <is>
          <t>阶段4 生产物流</t>
        </is>
      </c>
      <c r="C72" s="8" t="inlineStr">
        <is>
          <t>G4 基础生产闭环</t>
        </is>
      </c>
      <c r="D72" s="8" t="inlineStr">
        <is>
          <t>UI与交互</t>
        </is>
      </c>
      <c r="E72" s="8" t="inlineStr">
        <is>
          <t>仓库UI</t>
        </is>
      </c>
      <c r="F72" s="8" t="inlineStr">
        <is>
          <t>实现仓库库存与入库记录界面</t>
        </is>
      </c>
      <c r="G72" s="8" t="inlineStr">
        <is>
          <t>显示实体容量、分类记录、阻塞和出售跳转，不提供手动搬运。</t>
        </is>
      </c>
      <c r="H72" s="21" t="inlineStr">
        <is>
          <t>P0</t>
        </is>
      </c>
      <c r="I72" s="8" t="inlineStr">
        <is>
          <t>P4-012,P4-013,P0-008</t>
        </is>
      </c>
      <c r="J72" s="21" t="inlineStr">
        <is>
          <t>A4</t>
        </is>
      </c>
      <c r="K72" s="22" t="n">
        <v>10</v>
      </c>
      <c r="L72" s="22" t="n">
        <v>16</v>
      </c>
      <c r="M72" s="21" t="inlineStr">
        <is>
          <t>中</t>
        </is>
      </c>
      <c r="N72" s="21" t="inlineStr">
        <is>
          <t>程序预算</t>
        </is>
      </c>
      <c r="O72" s="8" t="inlineStr">
        <is>
          <t>玩家能解释每件入库对象去向且不能通过UI绕过运输。</t>
        </is>
      </c>
      <c r="P72" s="21" t="inlineStr">
        <is>
          <t>未开始</t>
        </is>
      </c>
      <c r="Q72" s="33" t="n"/>
      <c r="R72" s="8" t="n"/>
    </row>
    <row r="73" ht="24" customHeight="1" s="1">
      <c r="A73" s="24" t="inlineStr">
        <is>
          <t>P4-016</t>
        </is>
      </c>
      <c r="B73" s="24" t="inlineStr">
        <is>
          <t>阶段4 生产物流</t>
        </is>
      </c>
      <c r="C73" s="24" t="inlineStr">
        <is>
          <t>G4 基础生产闭环</t>
        </is>
      </c>
      <c r="D73" s="24" t="inlineStr">
        <is>
          <t>技术美术与特效</t>
        </is>
      </c>
      <c r="E73" s="24" t="inlineStr">
        <is>
          <t>作业表现</t>
        </is>
      </c>
      <c r="F73" s="24" t="inlineStr">
        <is>
          <t>制作五类基础作业灰盒反馈</t>
        </is>
      </c>
      <c r="G73" s="24" t="inlineStr">
        <is>
          <t>制作播种、收获、清理、浇水、切割、钻探和转移的可读反馈。</t>
        </is>
      </c>
      <c r="H73" s="25" t="inlineStr">
        <is>
          <t>P1</t>
        </is>
      </c>
      <c r="I73" s="24" t="inlineStr">
        <is>
          <t>P1-007,P2-011,P4-007,P4-008,P4-009,P4-010</t>
        </is>
      </c>
      <c r="J73" s="25" t="inlineStr">
        <is>
          <t>A4</t>
        </is>
      </c>
      <c r="K73" s="26" t="n">
        <v>12</v>
      </c>
      <c r="L73" s="26" t="n">
        <v>18</v>
      </c>
      <c r="M73" s="25" t="inlineStr">
        <is>
          <t>中</t>
        </is>
      </c>
      <c r="N73" s="25" t="inlineStr">
        <is>
          <t>美术资源预算</t>
        </is>
      </c>
      <c r="O73" s="24" t="inlineStr">
        <is>
          <t>每次单位提交与动作开始／结束均有对应视觉状态，不生成高成本物理散件。</t>
        </is>
      </c>
      <c r="P73" s="25" t="inlineStr">
        <is>
          <t>未开始</t>
        </is>
      </c>
      <c r="Q73" s="34" t="n"/>
      <c r="R73" s="24" t="n"/>
    </row>
    <row r="74" ht="72" customHeight="1" s="1">
      <c r="A74" s="8" t="inlineStr">
        <is>
          <t>P4-017</t>
        </is>
      </c>
      <c r="B74" s="8" t="inlineStr">
        <is>
          <t>阶段4 生产物流</t>
        </is>
      </c>
      <c r="C74" s="8" t="inlineStr">
        <is>
          <t>G4 基础生产闭环</t>
        </is>
      </c>
      <c r="D74" s="8" t="inlineStr">
        <is>
          <t>配置与内容</t>
        </is>
      </c>
      <c r="E74" s="8" t="inlineStr">
        <is>
          <t>生产数值</t>
        </is>
      </c>
      <c r="F74" s="8" t="inlineStr">
        <is>
          <t>录入作物、资源点、缓存和行为数值</t>
        </is>
      </c>
      <c r="G74" s="8" t="inlineStr">
        <is>
          <t>配置逐土地格网、作物、水枪弹道、逐树生长、矿脉MiningResistance与功率曲线、无限水域及水泵试玩初值，移除旧射程／释放门禁。</t>
        </is>
      </c>
      <c r="H74" s="21" t="inlineStr">
        <is>
          <t>P0</t>
        </is>
      </c>
      <c r="I74" s="8" t="inlineStr">
        <is>
          <t>P0-011,P4-002,P4-003,P4-004,P4-006,P4-007,P4-008,P4-009</t>
        </is>
      </c>
      <c r="J74" s="21" t="inlineStr">
        <is>
          <t>A4</t>
        </is>
      </c>
      <c r="K74" s="22" t="n">
        <v>8</v>
      </c>
      <c r="L74" s="22" t="n">
        <v>14</v>
      </c>
      <c r="M74" s="21" t="inlineStr">
        <is>
          <t>高</t>
        </is>
      </c>
      <c r="N74" s="21" t="inlineStr">
        <is>
          <t>程序预算</t>
        </is>
      </c>
      <c r="O74" s="8" t="inlineStr">
        <is>
          <t>配置与统一数值模型一致，所有单位、范围和结算时机明确。</t>
        </is>
      </c>
      <c r="P74" s="21" t="inlineStr">
        <is>
          <t>未开始</t>
        </is>
      </c>
      <c r="Q74" s="33" t="n"/>
      <c r="R74" s="8" t="inlineStr">
        <is>
          <t>2026-09-10设计同步，未据此变更实现状态。</t>
        </is>
      </c>
    </row>
    <row r="75" ht="24" customHeight="1" s="1">
      <c r="A75" s="24" t="inlineStr">
        <is>
          <t>G4-001</t>
        </is>
      </c>
      <c r="B75" s="24" t="inlineStr">
        <is>
          <t>阶段4 生产物流</t>
        </is>
      </c>
      <c r="C75" s="24" t="inlineStr">
        <is>
          <t>G4 基础生产闭环</t>
        </is>
      </c>
      <c r="D75" s="24" t="inlineStr">
        <is>
          <t>集成与阶段验收</t>
        </is>
      </c>
      <c r="E75" s="24" t="inlineStr">
        <is>
          <t>阶段验收</t>
        </is>
      </c>
      <c r="F75" s="24" t="inlineStr">
        <is>
          <t>基础生产与入库闭环验收</t>
        </is>
      </c>
      <c r="G75" s="24" t="inlineStr">
        <is>
          <t>确认农业、林矿水、算法、运输、仓库和全局资源闭环。</t>
        </is>
      </c>
      <c r="H75" s="25" t="inlineStr">
        <is>
          <t>P0</t>
        </is>
      </c>
      <c r="I75" s="24" t="inlineStr">
        <is>
          <t>P4-011,P4-012,P4-013,P4-014,P4-015,P4-017,P4-020</t>
        </is>
      </c>
      <c r="J75" s="25" t="inlineStr">
        <is>
          <t>G4</t>
        </is>
      </c>
      <c r="K75" s="26" t="n">
        <v>10</v>
      </c>
      <c r="L75" s="26" t="n">
        <v>16</v>
      </c>
      <c r="M75" s="25" t="inlineStr">
        <is>
          <t>低</t>
        </is>
      </c>
      <c r="N75" s="25" t="inlineStr">
        <is>
          <t>程序预算</t>
        </is>
      </c>
      <c r="O75" s="24" t="inlineStr">
        <is>
          <t>至少两类资源点可由机器自主生产、运输并正确入库，阻塞可诊断恢复。</t>
        </is>
      </c>
      <c r="P75" s="25" t="inlineStr">
        <is>
          <t>未开始</t>
        </is>
      </c>
      <c r="Q75" s="34" t="n"/>
      <c r="R75" s="24" t="n"/>
    </row>
    <row r="76" ht="24" customHeight="1" s="1">
      <c r="A76" s="8" t="inlineStr">
        <is>
          <t>P5-001</t>
        </is>
      </c>
      <c r="B76" s="8" t="inlineStr">
        <is>
          <t>阶段5 经济能源</t>
        </is>
      </c>
      <c r="C76" s="8" t="inlineStr">
        <is>
          <t>G5 可持续经营</t>
        </is>
      </c>
      <c r="D76" s="8" t="inlineStr">
        <is>
          <t>客户端程序</t>
        </is>
      </c>
      <c r="E76" s="8" t="inlineStr">
        <is>
          <t>商店</t>
        </is>
      </c>
      <c r="F76" s="8" t="inlineStr">
        <is>
          <t>实现固定商品购买与交付</t>
        </is>
      </c>
      <c r="G76" s="8" t="inlineStr">
        <is>
          <t>实现基础成品、种子、礼包、应急包和矿石包的解锁与限购。</t>
        </is>
      </c>
      <c r="H76" s="21" t="inlineStr">
        <is>
          <t>P0</t>
        </is>
      </c>
      <c r="I76" s="8" t="inlineStr">
        <is>
          <t>P4-012,P4-013,P0-006</t>
        </is>
      </c>
      <c r="J76" s="21" t="inlineStr">
        <is>
          <t>A5</t>
        </is>
      </c>
      <c r="K76" s="22" t="n">
        <v>12</v>
      </c>
      <c r="L76" s="22" t="n">
        <v>18</v>
      </c>
      <c r="M76" s="21" t="inlineStr">
        <is>
          <t>中</t>
        </is>
      </c>
      <c r="N76" s="21" t="inlineStr">
        <is>
          <t>程序预算</t>
        </is>
      </c>
      <c r="O76" s="8" t="inlineStr">
        <is>
          <t>购买原子扣费并走统一入库分类，限购与解锁条件正确。</t>
        </is>
      </c>
      <c r="P76" s="21" t="inlineStr">
        <is>
          <t>未开始</t>
        </is>
      </c>
      <c r="Q76" s="33" t="n"/>
      <c r="R76" s="8" t="n"/>
    </row>
    <row r="77" ht="24" customHeight="1" s="1">
      <c r="A77" s="24" t="inlineStr">
        <is>
          <t>P5-002</t>
        </is>
      </c>
      <c r="B77" s="24" t="inlineStr">
        <is>
          <t>阶段5 经济能源</t>
        </is>
      </c>
      <c r="C77" s="24" t="inlineStr">
        <is>
          <t>G5 可持续经营</t>
        </is>
      </c>
      <c r="D77" s="24" t="inlineStr">
        <is>
          <t>客户端程序</t>
        </is>
      </c>
      <c r="E77" s="24" t="inlineStr">
        <is>
          <t>出售</t>
        </is>
      </c>
      <c r="F77" s="24" t="inlineStr">
        <is>
          <t>实现物品出售与回收倍率</t>
        </is>
      </c>
      <c r="G77" s="24" t="inlineStr">
        <is>
          <t>支持通用资源60%、普通实体80%、安装／部署边界和主仓限制。</t>
        </is>
      </c>
      <c r="H77" s="25" t="inlineStr">
        <is>
          <t>P0</t>
        </is>
      </c>
      <c r="I77" s="24" t="inlineStr">
        <is>
          <t>P4-013,P2-002</t>
        </is>
      </c>
      <c r="J77" s="25" t="inlineStr">
        <is>
          <t>A5</t>
        </is>
      </c>
      <c r="K77" s="26" t="n">
        <v>10</v>
      </c>
      <c r="L77" s="26" t="n">
        <v>16</v>
      </c>
      <c r="M77" s="25" t="inlineStr">
        <is>
          <t>中</t>
        </is>
      </c>
      <c r="N77" s="25" t="inlineStr">
        <is>
          <t>程序预算</t>
        </is>
      </c>
      <c r="O77" s="24" t="inlineStr">
        <is>
          <t>出售不会产生循环套利，非法对象不能直接出售。</t>
        </is>
      </c>
      <c r="P77" s="25" t="inlineStr">
        <is>
          <t>未开始</t>
        </is>
      </c>
      <c r="Q77" s="34" t="n"/>
      <c r="R77" s="24" t="n"/>
    </row>
    <row r="78" ht="24" customHeight="1" s="1">
      <c r="A78" s="8" t="inlineStr">
        <is>
          <t>P5-003</t>
        </is>
      </c>
      <c r="B78" s="8" t="inlineStr">
        <is>
          <t>阶段5 经济能源</t>
        </is>
      </c>
      <c r="C78" s="8" t="inlineStr">
        <is>
          <t>G5 可持续经营</t>
        </is>
      </c>
      <c r="D78" s="8" t="inlineStr">
        <is>
          <t>UI与交互</t>
        </is>
      </c>
      <c r="E78" s="8" t="inlineStr">
        <is>
          <t>商店UI</t>
        </is>
      </c>
      <c r="F78" s="8" t="inlineStr">
        <is>
          <t>实现商店、礼包与出售界面</t>
        </is>
      </c>
      <c r="G78" s="8" t="inlineStr">
        <is>
          <t>显示价格、拥有量、限购、解锁、回收价和交付说明。</t>
        </is>
      </c>
      <c r="H78" s="21" t="inlineStr">
        <is>
          <t>P0</t>
        </is>
      </c>
      <c r="I78" s="8" t="inlineStr">
        <is>
          <t>P5-001,P5-002,P0-008</t>
        </is>
      </c>
      <c r="J78" s="21" t="inlineStr">
        <is>
          <t>A5</t>
        </is>
      </c>
      <c r="K78" s="22" t="n">
        <v>12</v>
      </c>
      <c r="L78" s="22" t="n">
        <v>18</v>
      </c>
      <c r="M78" s="21" t="inlineStr">
        <is>
          <t>中</t>
        </is>
      </c>
      <c r="N78" s="21" t="inlineStr">
        <is>
          <t>程序预算</t>
        </is>
      </c>
      <c r="O78" s="8" t="inlineStr">
        <is>
          <t>玩家能购买与出售第一版全部允许对象，确认后结果立即可见。</t>
        </is>
      </c>
      <c r="P78" s="21" t="inlineStr">
        <is>
          <t>未开始</t>
        </is>
      </c>
      <c r="Q78" s="33" t="n"/>
      <c r="R78" s="8" t="n"/>
    </row>
    <row r="79" ht="24" customHeight="1" s="1">
      <c r="A79" s="24" t="inlineStr">
        <is>
          <t>P5-004</t>
        </is>
      </c>
      <c r="B79" s="24" t="inlineStr">
        <is>
          <t>阶段5 经济能源</t>
        </is>
      </c>
      <c r="C79" s="24" t="inlineStr">
        <is>
          <t>G5 可持续经营</t>
        </is>
      </c>
      <c r="D79" s="24" t="inlineStr">
        <is>
          <t>客户端程序</t>
        </is>
      </c>
      <c r="E79" s="24" t="inlineStr">
        <is>
          <t>机器库</t>
        </is>
      </c>
      <c r="F79" s="24" t="inlineStr">
        <is>
          <t>实现机器库与组件库数据操作</t>
        </is>
      </c>
      <c r="G79" s="24" t="inlineStr">
        <is>
          <t>支持未部署载体、未安装组件、已安装查看、一键卸载和回收边界。</t>
        </is>
      </c>
      <c r="H79" s="25" t="inlineStr">
        <is>
          <t>P0</t>
        </is>
      </c>
      <c r="I79" s="24" t="inlineStr">
        <is>
          <t>P2-001,P2-002,P4-012</t>
        </is>
      </c>
      <c r="J79" s="25" t="inlineStr">
        <is>
          <t>A5</t>
        </is>
      </c>
      <c r="K79" s="26" t="n">
        <v>12</v>
      </c>
      <c r="L79" s="26" t="n">
        <v>18</v>
      </c>
      <c r="M79" s="25" t="inlineStr">
        <is>
          <t>低</t>
        </is>
      </c>
      <c r="N79" s="25" t="inlineStr">
        <is>
          <t>程序预算</t>
        </is>
      </c>
      <c r="O79" s="24" t="inlineStr">
        <is>
          <t>入库分类对象可查、可组装、可出售且不会复制实例。</t>
        </is>
      </c>
      <c r="P79" s="25" t="inlineStr">
        <is>
          <t>未开始</t>
        </is>
      </c>
      <c r="Q79" s="34" t="n"/>
      <c r="R79" s="24" t="n"/>
    </row>
    <row r="80" ht="24" customHeight="1" s="1">
      <c r="A80" s="8" t="inlineStr">
        <is>
          <t>P5-005</t>
        </is>
      </c>
      <c r="B80" s="8" t="inlineStr">
        <is>
          <t>阶段5 经济能源</t>
        </is>
      </c>
      <c r="C80" s="8" t="inlineStr">
        <is>
          <t>G5 可持续经营</t>
        </is>
      </c>
      <c r="D80" s="8" t="inlineStr">
        <is>
          <t>UI与交互</t>
        </is>
      </c>
      <c r="E80" s="8" t="inlineStr">
        <is>
          <t>库界面</t>
        </is>
      </c>
      <c r="F80" s="8" t="inlineStr">
        <is>
          <t>实现机器库与组件库界面</t>
        </is>
      </c>
      <c r="G80" s="8" t="inlineStr">
        <is>
          <t>提供筛选、比较、组装、升级入口和已安装组件跳转。</t>
        </is>
      </c>
      <c r="H80" s="21" t="inlineStr">
        <is>
          <t>P0</t>
        </is>
      </c>
      <c r="I80" s="8" t="inlineStr">
        <is>
          <t>P5-004,P2-009</t>
        </is>
      </c>
      <c r="J80" s="21" t="inlineStr">
        <is>
          <t>A5</t>
        </is>
      </c>
      <c r="K80" s="22" t="n">
        <v>12</v>
      </c>
      <c r="L80" s="22" t="n">
        <v>18</v>
      </c>
      <c r="M80" s="21" t="inlineStr">
        <is>
          <t>中</t>
        </is>
      </c>
      <c r="N80" s="21" t="inlineStr">
        <is>
          <t>程序预算</t>
        </is>
      </c>
      <c r="O80" s="8" t="inlineStr">
        <is>
          <t>玩家可完成礼包入库后的组装流程，不必直接操作场景外实体。</t>
        </is>
      </c>
      <c r="P80" s="21" t="inlineStr">
        <is>
          <t>未开始</t>
        </is>
      </c>
      <c r="Q80" s="33" t="n"/>
      <c r="R80" s="8" t="n"/>
    </row>
    <row r="81">
      <c r="A81" s="24" t="inlineStr">
        <is>
          <t>P5-006</t>
        </is>
      </c>
      <c r="B81" s="24" t="inlineStr">
        <is>
          <t>阶段5 经济能源</t>
        </is>
      </c>
      <c r="C81" s="24" t="inlineStr">
        <is>
          <t>G5 可持续经营</t>
        </is>
      </c>
      <c r="D81" s="24" t="inlineStr">
        <is>
          <t>客户端程序</t>
        </is>
      </c>
      <c r="E81" s="24" t="inlineStr">
        <is>
          <t>电网</t>
        </is>
      </c>
      <c r="F81" s="24" t="inlineStr">
        <is>
          <t>实现区域功率与电量连续结算</t>
        </is>
      </c>
      <c r="G81" s="24" t="inlineStr">
        <is>
          <t>汇总负载、发电、净功率、储电和预计时间。</t>
        </is>
      </c>
      <c r="H81" s="25" t="inlineStr">
        <is>
          <t>P0</t>
        </is>
      </c>
      <c r="I81" s="24" t="inlineStr">
        <is>
          <t>P0-005,P1-001,P2-003</t>
        </is>
      </c>
      <c r="J81" s="25" t="inlineStr">
        <is>
          <t>A5</t>
        </is>
      </c>
      <c r="K81" s="26" t="n">
        <v>12</v>
      </c>
      <c r="L81" s="26" t="n">
        <v>18</v>
      </c>
      <c r="M81" s="25" t="inlineStr">
        <is>
          <t>低</t>
        </is>
      </c>
      <c r="N81" s="25" t="inlineStr">
        <is>
          <t>程序预算</t>
        </is>
      </c>
      <c r="O81" s="24" t="inlineStr">
        <is>
          <t>功率×时间正确转为电量，界面查询不改变结算。</t>
        </is>
      </c>
      <c r="P81" s="25" t="inlineStr">
        <is>
          <t>未开始</t>
        </is>
      </c>
      <c r="Q81" s="34" t="n"/>
      <c r="R81" s="24" t="n"/>
    </row>
    <row r="82" ht="24.75" customHeight="1" s="1">
      <c r="A82" s="8" t="inlineStr">
        <is>
          <t>P5-007</t>
        </is>
      </c>
      <c r="B82" s="8" t="inlineStr">
        <is>
          <t>阶段5 经济能源</t>
        </is>
      </c>
      <c r="C82" s="8" t="inlineStr">
        <is>
          <t>G5 可持续经营</t>
        </is>
      </c>
      <c r="D82" s="8" t="inlineStr">
        <is>
          <t>客户端程序</t>
        </is>
      </c>
      <c r="E82" s="8" t="inlineStr">
        <is>
          <t>发电</t>
        </is>
      </c>
      <c r="F82" s="8" t="inlineStr">
        <is>
          <t>实现太阳能与生物质发电机</t>
        </is>
      </c>
      <c r="G82" s="8" t="inlineStr">
        <is>
          <t>实现日照15功率、燃料60电量和按需发电／充电许可。</t>
        </is>
      </c>
      <c r="H82" s="21" t="inlineStr">
        <is>
          <t>P0</t>
        </is>
      </c>
      <c r="I82" s="8" t="inlineStr">
        <is>
          <t>P5-006,P4-013</t>
        </is>
      </c>
      <c r="J82" s="21" t="inlineStr">
        <is>
          <t>A5</t>
        </is>
      </c>
      <c r="K82" s="22" t="n">
        <v>10</v>
      </c>
      <c r="L82" s="22" t="n">
        <v>16</v>
      </c>
      <c r="M82" s="21" t="inlineStr">
        <is>
          <t>中</t>
        </is>
      </c>
      <c r="N82" s="21" t="inlineStr">
        <is>
          <t>程序预算</t>
        </is>
      </c>
      <c r="O82" s="8" t="inlineStr">
        <is>
          <t>燃料只按实际输出消耗，夜间太阳能归零且不误报故障。</t>
        </is>
      </c>
      <c r="P82" s="21" t="inlineStr">
        <is>
          <t>未开始</t>
        </is>
      </c>
      <c r="Q82" s="33" t="n"/>
      <c r="R82" s="8" t="n"/>
    </row>
    <row r="83">
      <c r="A83" s="24" t="inlineStr">
        <is>
          <t>P5-008</t>
        </is>
      </c>
      <c r="B83" s="24" t="inlineStr">
        <is>
          <t>阶段5 经济能源</t>
        </is>
      </c>
      <c r="C83" s="24" t="inlineStr">
        <is>
          <t>G5 可持续经营</t>
        </is>
      </c>
      <c r="D83" s="24" t="inlineStr">
        <is>
          <t>客户端程序</t>
        </is>
      </c>
      <c r="E83" s="24" t="inlineStr">
        <is>
          <t>储能</t>
        </is>
      </c>
      <c r="F83" s="24" t="inlineStr">
        <is>
          <t>实现基础蓄电池</t>
        </is>
      </c>
      <c r="G83" s="24" t="inlineStr">
        <is>
          <t>实现240容量、充电、放电、待机和目标储能。</t>
        </is>
      </c>
      <c r="H83" s="25" t="inlineStr">
        <is>
          <t>P0</t>
        </is>
      </c>
      <c r="I83" s="24" t="inlineStr">
        <is>
          <t>P5-006,P5-007</t>
        </is>
      </c>
      <c r="J83" s="25" t="inlineStr">
        <is>
          <t>A5</t>
        </is>
      </c>
      <c r="K83" s="26" t="n">
        <v>8</v>
      </c>
      <c r="L83" s="26" t="n">
        <v>14</v>
      </c>
      <c r="M83" s="25" t="inlineStr">
        <is>
          <t>中</t>
        </is>
      </c>
      <c r="N83" s="25" t="inlineStr">
        <is>
          <t>程序预算</t>
        </is>
      </c>
      <c r="O83" s="24" t="inlineStr">
        <is>
          <t>蓄电池不同时充放电，满／空状态及累计充放电准确。</t>
        </is>
      </c>
      <c r="P83" s="25" t="inlineStr">
        <is>
          <t>未开始</t>
        </is>
      </c>
      <c r="Q83" s="34" t="n"/>
      <c r="R83" s="24" t="n"/>
    </row>
    <row r="84" ht="24" customHeight="1" s="1">
      <c r="A84" s="8" t="inlineStr">
        <is>
          <t>P5-009</t>
        </is>
      </c>
      <c r="B84" s="8" t="inlineStr">
        <is>
          <t>阶段5 经济能源</t>
        </is>
      </c>
      <c r="C84" s="8" t="inlineStr">
        <is>
          <t>G5 可持续经营</t>
        </is>
      </c>
      <c r="D84" s="8" t="inlineStr">
        <is>
          <t>客户端程序</t>
        </is>
      </c>
      <c r="E84" s="8" t="inlineStr">
        <is>
          <t>供电调度</t>
        </is>
      </c>
      <c r="F84" s="8" t="inlineStr">
        <is>
          <t>实现供电优先级与停机恢复</t>
        </is>
      </c>
      <c r="G84" s="8" t="inlineStr">
        <is>
          <t>按免费能源、燃料、储能和负载顺序供电并恢复机器状态。</t>
        </is>
      </c>
      <c r="H84" s="21" t="inlineStr">
        <is>
          <t>P0</t>
        </is>
      </c>
      <c r="I84" s="8" t="inlineStr">
        <is>
          <t>P5-006,P5-007,P5-008,P2-003</t>
        </is>
      </c>
      <c r="J84" s="21" t="inlineStr">
        <is>
          <t>A5</t>
        </is>
      </c>
      <c r="K84" s="22" t="n">
        <v>12</v>
      </c>
      <c r="L84" s="22" t="n">
        <v>18</v>
      </c>
      <c r="M84" s="21" t="inlineStr">
        <is>
          <t>低</t>
        </is>
      </c>
      <c r="N84" s="21" t="inlineStr">
        <is>
          <t>程序预算</t>
        </is>
      </c>
      <c r="O84" s="8" t="inlineStr">
        <is>
          <t>缺电时以整机／建筑停机，恢复后不重复结算动作单位。</t>
        </is>
      </c>
      <c r="P84" s="21" t="inlineStr">
        <is>
          <t>未开始</t>
        </is>
      </c>
      <c r="Q84" s="33" t="n"/>
      <c r="R84" s="8" t="n"/>
    </row>
    <row r="85" ht="24" customHeight="1" s="1">
      <c r="A85" s="24" t="inlineStr">
        <is>
          <t>P5-010</t>
        </is>
      </c>
      <c r="B85" s="24" t="inlineStr">
        <is>
          <t>阶段5 经济能源</t>
        </is>
      </c>
      <c r="C85" s="24" t="inlineStr">
        <is>
          <t>G5 可持续经营</t>
        </is>
      </c>
      <c r="D85" s="24" t="inlineStr">
        <is>
          <t>UI与交互</t>
        </is>
      </c>
      <c r="E85" s="24" t="inlineStr">
        <is>
          <t>能源UI</t>
        </is>
      </c>
      <c r="F85" s="24" t="inlineStr">
        <is>
          <t>实现能源总览与设施控制</t>
        </is>
      </c>
      <c r="G85" s="24" t="inlineStr">
        <is>
          <t>显示供需、储能、续航、设施状态、燃料和充电许可。</t>
        </is>
      </c>
      <c r="H85" s="25" t="inlineStr">
        <is>
          <t>P0</t>
        </is>
      </c>
      <c r="I85" s="24" t="inlineStr">
        <is>
          <t>P5-006,P5-007,P5-008,P5-009</t>
        </is>
      </c>
      <c r="J85" s="25" t="inlineStr">
        <is>
          <t>A5</t>
        </is>
      </c>
      <c r="K85" s="26" t="n">
        <v>12</v>
      </c>
      <c r="L85" s="26" t="n">
        <v>18</v>
      </c>
      <c r="M85" s="25" t="inlineStr">
        <is>
          <t>中</t>
        </is>
      </c>
      <c r="N85" s="25" t="inlineStr">
        <is>
          <t>程序预算</t>
        </is>
      </c>
      <c r="O85" s="24" t="inlineStr">
        <is>
          <t>玩家可定位缺电原因并完成蓄电任务需要的全部操作。</t>
        </is>
      </c>
      <c r="P85" s="25" t="inlineStr">
        <is>
          <t>未开始</t>
        </is>
      </c>
      <c r="Q85" s="34" t="n"/>
      <c r="R85" s="24" t="n"/>
    </row>
    <row r="86" ht="24" customHeight="1" s="1">
      <c r="A86" s="8" t="inlineStr">
        <is>
          <t>P5-011</t>
        </is>
      </c>
      <c r="B86" s="8" t="inlineStr">
        <is>
          <t>阶段5 经济能源</t>
        </is>
      </c>
      <c r="C86" s="8" t="inlineStr">
        <is>
          <t>G5 可持续经营</t>
        </is>
      </c>
      <c r="D86" s="8" t="inlineStr">
        <is>
          <t>客户端程序</t>
        </is>
      </c>
      <c r="E86" s="8" t="inlineStr">
        <is>
          <t>升级</t>
        </is>
      </c>
      <c r="F86" s="8" t="inlineStr">
        <is>
          <t>实现一级升二级与前三级折扣</t>
        </is>
      </c>
      <c r="G86" s="8" t="inlineStr">
        <is>
          <t>处理安全停机、资源扣除、属性变化、扶持折扣和回收价不变。</t>
        </is>
      </c>
      <c r="H86" s="21" t="inlineStr">
        <is>
          <t>P0</t>
        </is>
      </c>
      <c r="I86" s="8" t="inlineStr">
        <is>
          <t>P5-004,P4-013,P2-003</t>
        </is>
      </c>
      <c r="J86" s="21" t="inlineStr">
        <is>
          <t>A5</t>
        </is>
      </c>
      <c r="K86" s="22" t="n">
        <v>12</v>
      </c>
      <c r="L86" s="22" t="n">
        <v>18</v>
      </c>
      <c r="M86" s="21" t="inlineStr">
        <is>
          <t>低</t>
        </is>
      </c>
      <c r="N86" s="21" t="inlineStr">
        <is>
          <t>程序预算</t>
        </is>
      </c>
      <c r="O86" s="8" t="inlineStr">
        <is>
          <t>升级只强化既有能力，实际成本与属性提升符合配置。</t>
        </is>
      </c>
      <c r="P86" s="21" t="inlineStr">
        <is>
          <t>未开始</t>
        </is>
      </c>
      <c r="Q86" s="33" t="n"/>
      <c r="R86" s="8" t="n"/>
    </row>
    <row r="87" ht="24" customHeight="1" s="1">
      <c r="A87" s="24" t="inlineStr">
        <is>
          <t>P5-012</t>
        </is>
      </c>
      <c r="B87" s="24" t="inlineStr">
        <is>
          <t>阶段5 经济能源</t>
        </is>
      </c>
      <c r="C87" s="24" t="inlineStr">
        <is>
          <t>G5 可持续经营</t>
        </is>
      </c>
      <c r="D87" s="24" t="inlineStr">
        <is>
          <t>UI与交互</t>
        </is>
      </c>
      <c r="E87" s="24" t="inlineStr">
        <is>
          <t>升级UI</t>
        </is>
      </c>
      <c r="F87" s="24" t="inlineStr">
        <is>
          <t>实现组件与载体升级交互</t>
        </is>
      </c>
      <c r="G87" s="24" t="inlineStr">
        <is>
          <t>显示原价、折扣价、属性差异、等待安全停机和完成结果。</t>
        </is>
      </c>
      <c r="H87" s="25" t="inlineStr">
        <is>
          <t>P1</t>
        </is>
      </c>
      <c r="I87" s="24" t="inlineStr">
        <is>
          <t>P5-011,P5-005</t>
        </is>
      </c>
      <c r="J87" s="25" t="inlineStr">
        <is>
          <t>A5</t>
        </is>
      </c>
      <c r="K87" s="26" t="n">
        <v>8</v>
      </c>
      <c r="L87" s="26" t="n">
        <v>14</v>
      </c>
      <c r="M87" s="25" t="inlineStr">
        <is>
          <t>中</t>
        </is>
      </c>
      <c r="N87" s="25" t="inlineStr">
        <is>
          <t>程序预算</t>
        </is>
      </c>
      <c r="O87" s="24" t="inlineStr">
        <is>
          <t>已安装与未安装对象均能从允许入口升级，资源来源说明正确。</t>
        </is>
      </c>
      <c r="P87" s="25" t="inlineStr">
        <is>
          <t>未开始</t>
        </is>
      </c>
      <c r="Q87" s="34" t="n"/>
      <c r="R87" s="24" t="n"/>
    </row>
    <row r="88">
      <c r="A88" s="8" t="inlineStr">
        <is>
          <t>P5-013</t>
        </is>
      </c>
      <c r="B88" s="8" t="inlineStr">
        <is>
          <t>阶段5 经济能源</t>
        </is>
      </c>
      <c r="C88" s="8" t="inlineStr">
        <is>
          <t>G5 可持续经营</t>
        </is>
      </c>
      <c r="D88" s="8" t="inlineStr">
        <is>
          <t>客户端程序</t>
        </is>
      </c>
      <c r="E88" s="8" t="inlineStr">
        <is>
          <t>日常补给</t>
        </is>
      </c>
      <c r="F88" s="8" t="inlineStr">
        <is>
          <t>实现星拓联每日800金币补给</t>
        </is>
      </c>
      <c r="G88" s="8" t="inlineStr">
        <is>
          <t>按存档、本地自然日、最晚日期和主动领取处理。</t>
        </is>
      </c>
      <c r="H88" s="21" t="inlineStr">
        <is>
          <t>P1</t>
        </is>
      </c>
      <c r="I88" s="8" t="inlineStr">
        <is>
          <t>P4-013</t>
        </is>
      </c>
      <c r="J88" s="21" t="inlineStr">
        <is>
          <t>A5</t>
        </is>
      </c>
      <c r="K88" s="22" t="n">
        <v>6</v>
      </c>
      <c r="L88" s="22" t="n">
        <v>10</v>
      </c>
      <c r="M88" s="21" t="inlineStr">
        <is>
          <t>中</t>
        </is>
      </c>
      <c r="N88" s="21" t="inlineStr">
        <is>
          <t>程序预算</t>
        </is>
      </c>
      <c r="O88" s="8" t="inlineStr">
        <is>
          <t>首日可领、不累积，日期回拨不能重复领取。</t>
        </is>
      </c>
      <c r="P88" s="21" t="inlineStr">
        <is>
          <t>未开始</t>
        </is>
      </c>
      <c r="Q88" s="33" t="n"/>
      <c r="R88" s="8" t="n"/>
    </row>
    <row r="89" ht="24" customHeight="1" s="1">
      <c r="A89" s="24" t="inlineStr">
        <is>
          <t>P5-014</t>
        </is>
      </c>
      <c r="B89" s="24" t="inlineStr">
        <is>
          <t>阶段5 经济能源</t>
        </is>
      </c>
      <c r="C89" s="24" t="inlineStr">
        <is>
          <t>G5 可持续经营</t>
        </is>
      </c>
      <c r="D89" s="24" t="inlineStr">
        <is>
          <t>配置与内容</t>
        </is>
      </c>
      <c r="E89" s="24" t="inlineStr">
        <is>
          <t>经济配置</t>
        </is>
      </c>
      <c r="F89" s="24" t="inlineStr">
        <is>
          <t>录入商品、售价、回收、升级与能源数值</t>
        </is>
      </c>
      <c r="G89" s="24" t="inlineStr">
        <is>
          <t>完成第一版商店、礼包、配方前置和能源设施配置。</t>
        </is>
      </c>
      <c r="H89" s="25" t="inlineStr">
        <is>
          <t>P0</t>
        </is>
      </c>
      <c r="I89" s="24" t="inlineStr">
        <is>
          <t>P0-011,P5-001,P5-002,P5-007,P5-008,P5-011</t>
        </is>
      </c>
      <c r="J89" s="25" t="inlineStr">
        <is>
          <t>A5</t>
        </is>
      </c>
      <c r="K89" s="26" t="n">
        <v>10</v>
      </c>
      <c r="L89" s="26" t="n">
        <v>16</v>
      </c>
      <c r="M89" s="25" t="inlineStr">
        <is>
          <t>高</t>
        </is>
      </c>
      <c r="N89" s="25" t="inlineStr">
        <is>
          <t>程序预算</t>
        </is>
      </c>
      <c r="O89" s="24" t="inlineStr">
        <is>
          <t>配置与数值文档一致且没有立即买卖或制造套利。</t>
        </is>
      </c>
      <c r="P89" s="25" t="inlineStr">
        <is>
          <t>未开始</t>
        </is>
      </c>
      <c r="Q89" s="34" t="n"/>
      <c r="R89" s="24" t="n"/>
    </row>
    <row r="90" ht="24" customHeight="1" s="1">
      <c r="A90" s="8" t="inlineStr">
        <is>
          <t>G5-001</t>
        </is>
      </c>
      <c r="B90" s="8" t="inlineStr">
        <is>
          <t>阶段5 经济能源</t>
        </is>
      </c>
      <c r="C90" s="8" t="inlineStr">
        <is>
          <t>G5 可持续经营</t>
        </is>
      </c>
      <c r="D90" s="8" t="inlineStr">
        <is>
          <t>集成与阶段验收</t>
        </is>
      </c>
      <c r="E90" s="8" t="inlineStr">
        <is>
          <t>阶段验收</t>
        </is>
      </c>
      <c r="F90" s="8" t="inlineStr">
        <is>
          <t>经济与能源闭环验收</t>
        </is>
      </c>
      <c r="G90" s="8" t="inlineStr">
        <is>
          <t>确认购买、出售、升级、发电、蓄电、缺电和恢复共同运行。</t>
        </is>
      </c>
      <c r="H90" s="21" t="inlineStr">
        <is>
          <t>P0</t>
        </is>
      </c>
      <c r="I90" s="8" t="inlineStr">
        <is>
          <t>P5-003,P5-005,P5-009,P5-010,P5-011,P5-013,P5-014</t>
        </is>
      </c>
      <c r="J90" s="21" t="inlineStr">
        <is>
          <t>G5</t>
        </is>
      </c>
      <c r="K90" s="22" t="n">
        <v>8</v>
      </c>
      <c r="L90" s="22" t="n">
        <v>14</v>
      </c>
      <c r="M90" s="21" t="inlineStr">
        <is>
          <t>低</t>
        </is>
      </c>
      <c r="N90" s="21" t="inlineStr">
        <is>
          <t>程序预算</t>
        </is>
      </c>
      <c r="O90" s="8" t="inlineStr">
        <is>
          <t>玩家可从生产获得资源，消费扩张，并从完全无燃料状态恢复最低生产。</t>
        </is>
      </c>
      <c r="P90" s="21" t="inlineStr">
        <is>
          <t>未开始</t>
        </is>
      </c>
      <c r="Q90" s="33" t="n"/>
      <c r="R90" s="8" t="n"/>
    </row>
    <row r="91" ht="72" customHeight="1" s="1">
      <c r="A91" s="24" t="inlineStr">
        <is>
          <t>P6-001</t>
        </is>
      </c>
      <c r="B91" s="24" t="inlineStr">
        <is>
          <t>阶段6 建造制造成长</t>
        </is>
      </c>
      <c r="C91" s="24" t="inlineStr">
        <is>
          <t>G6 发展流程闭环</t>
        </is>
      </c>
      <c r="D91" s="24" t="inlineStr">
        <is>
          <t>客户端程序</t>
        </is>
      </c>
      <c r="E91" s="24" t="inlineStr">
        <is>
          <t>施工</t>
        </is>
      </c>
      <c r="F91" s="24" t="inlineStr">
        <is>
          <t>实现建筑放置、施工和取消</t>
        </is>
      </c>
      <c r="G91" s="24" t="inlineStr">
        <is>
          <t>成本原子扣除、自动施工、并行推进与取消返还；围栏碰撞只封闭既定施工区域，装饰不增加占地；仅从0到1新建。</t>
        </is>
      </c>
      <c r="H91" s="25" t="inlineStr">
        <is>
          <t>P0</t>
        </is>
      </c>
      <c r="I91" s="24" t="inlineStr">
        <is>
          <t>P1-004,P4-013,P0-005</t>
        </is>
      </c>
      <c r="J91" s="25" t="inlineStr">
        <is>
          <t>A6</t>
        </is>
      </c>
      <c r="K91" s="26" t="n">
        <v>12</v>
      </c>
      <c r="L91" s="26" t="n">
        <v>18</v>
      </c>
      <c r="M91" s="25" t="inlineStr">
        <is>
          <t>低</t>
        </is>
      </c>
      <c r="N91" s="25" t="inlineStr">
        <is>
          <t>程序预算</t>
        </is>
      </c>
      <c r="O91" s="24" t="inlineStr">
        <is>
          <t>含水泵的已开放建筑可施工，取消／完成不重复扣费；装饰不额外占地或阻塞邻接道路。</t>
        </is>
      </c>
      <c r="P91" s="25" t="inlineStr">
        <is>
          <t>未开始</t>
        </is>
      </c>
      <c r="Q91" s="34" t="n"/>
      <c r="R91" s="24" t="inlineStr">
        <is>
          <t>2026-09-10设计同步，未据此变更实现状态。</t>
        </is>
      </c>
    </row>
    <row r="92" ht="72" customHeight="1" s="1">
      <c r="A92" s="8" t="inlineStr">
        <is>
          <t>P6-002</t>
        </is>
      </c>
      <c r="B92" s="8" t="inlineStr">
        <is>
          <t>阶段6 建造制造成长</t>
        </is>
      </c>
      <c r="C92" s="8" t="inlineStr">
        <is>
          <t>G6 发展流程闭环</t>
        </is>
      </c>
      <c r="D92" s="8" t="inlineStr">
        <is>
          <t>UI与交互</t>
        </is>
      </c>
      <c r="E92" s="8" t="inlineStr">
        <is>
          <t>建造UI</t>
        </is>
      </c>
      <c r="F92" s="8" t="inlineStr">
        <is>
          <t>实现建造目录、预览和施工面板</t>
        </is>
      </c>
      <c r="G92" s="8" t="inlineStr">
        <is>
          <t>沿用通用UI显示图纸、合法位置、进度及取消；基础引导后开放入口，持续水源派发给予图纸，首次放泵简短教学。</t>
        </is>
      </c>
      <c r="H92" s="21" t="inlineStr">
        <is>
          <t>P0</t>
        </is>
      </c>
      <c r="I92" s="8" t="inlineStr">
        <is>
          <t>P6-001,P0-008</t>
        </is>
      </c>
      <c r="J92" s="21" t="inlineStr">
        <is>
          <t>A6</t>
        </is>
      </c>
      <c r="K92" s="22" t="n">
        <v>10</v>
      </c>
      <c r="L92" s="22" t="n">
        <v>16</v>
      </c>
      <c r="M92" s="21" t="inlineStr">
        <is>
          <t>中</t>
        </is>
      </c>
      <c r="N92" s="21" t="inlineStr">
        <is>
          <t>程序预算</t>
        </is>
      </c>
      <c r="O92" s="8" t="inlineStr">
        <is>
          <t>未得图纸不能建造；不依赖中枢2级解锁通用建造，无图纸奖励循环依赖。</t>
        </is>
      </c>
      <c r="P92" s="21" t="inlineStr">
        <is>
          <t>未开始</t>
        </is>
      </c>
      <c r="Q92" s="33" t="n"/>
      <c r="R92" s="8" t="inlineStr">
        <is>
          <t>2026-09-10设计同步，未据此变更实现状态。</t>
        </is>
      </c>
    </row>
    <row r="93" ht="24.75" customHeight="1" s="1">
      <c r="A93" s="24" t="inlineStr">
        <is>
          <t>P6-003</t>
        </is>
      </c>
      <c r="B93" s="24" t="inlineStr">
        <is>
          <t>阶段6 建造制造成长</t>
        </is>
      </c>
      <c r="C93" s="24" t="inlineStr">
        <is>
          <t>G6 发展流程闭环</t>
        </is>
      </c>
      <c r="D93" s="24" t="inlineStr">
        <is>
          <t>客户端程序</t>
        </is>
      </c>
      <c r="E93" s="24" t="inlineStr">
        <is>
          <t>工坊</t>
        </is>
      </c>
      <c r="F93" s="24" t="inlineStr">
        <is>
          <t>实现单队列制造与阻塞</t>
        </is>
      </c>
      <c r="G93" s="24" t="inlineStr">
        <is>
          <t>实现队首扣费、进度、暂停、取消返还和输出缓存2。</t>
        </is>
      </c>
      <c r="H93" s="25" t="inlineStr">
        <is>
          <t>P0</t>
        </is>
      </c>
      <c r="I93" s="24" t="inlineStr">
        <is>
          <t>P6-001,P5-009,P4-013</t>
        </is>
      </c>
      <c r="J93" s="25" t="inlineStr">
        <is>
          <t>A6</t>
        </is>
      </c>
      <c r="K93" s="26" t="n">
        <v>12</v>
      </c>
      <c r="L93" s="26" t="n">
        <v>18</v>
      </c>
      <c r="M93" s="25" t="inlineStr">
        <is>
          <t>低</t>
        </is>
      </c>
      <c r="N93" s="25" t="inlineStr">
        <is>
          <t>程序预算</t>
        </is>
      </c>
      <c r="O93" s="24" t="inlineStr">
        <is>
          <t>缺电、缺资源或输出满时保留进度，恢复后继续。</t>
        </is>
      </c>
      <c r="P93" s="25" t="inlineStr">
        <is>
          <t>未开始</t>
        </is>
      </c>
      <c r="Q93" s="34" t="n"/>
      <c r="R93" s="24" t="n"/>
    </row>
    <row r="94">
      <c r="A94" s="8" t="inlineStr">
        <is>
          <t>P6-004</t>
        </is>
      </c>
      <c r="B94" s="8" t="inlineStr">
        <is>
          <t>阶段6 建造制造成长</t>
        </is>
      </c>
      <c r="C94" s="8" t="inlineStr">
        <is>
          <t>G6 发展流程闭环</t>
        </is>
      </c>
      <c r="D94" s="8" t="inlineStr">
        <is>
          <t>客户端程序</t>
        </is>
      </c>
      <c r="E94" s="8" t="inlineStr">
        <is>
          <t>工坊</t>
        </is>
      </c>
      <c r="F94" s="8" t="inlineStr">
        <is>
          <t>实现封装组件输出与入库分类</t>
        </is>
      </c>
      <c r="G94" s="8" t="inlineStr">
        <is>
          <t>制造完成生成可运输封装实体并进入组件库。</t>
        </is>
      </c>
      <c r="H94" s="21" t="inlineStr">
        <is>
          <t>P0</t>
        </is>
      </c>
      <c r="I94" s="8" t="inlineStr">
        <is>
          <t>P6-003,P4-010,P4-012</t>
        </is>
      </c>
      <c r="J94" s="21" t="inlineStr">
        <is>
          <t>A6</t>
        </is>
      </c>
      <c r="K94" s="22" t="n">
        <v>8</v>
      </c>
      <c r="L94" s="22" t="n">
        <v>14</v>
      </c>
      <c r="M94" s="21" t="inlineStr">
        <is>
          <t>中</t>
        </is>
      </c>
      <c r="N94" s="21" t="inlineStr">
        <is>
          <t>程序预算</t>
        </is>
      </c>
      <c r="O94" s="8" t="inlineStr">
        <is>
          <t>封装组件必须运输，入库后只生成一个组件实例。</t>
        </is>
      </c>
      <c r="P94" s="21" t="inlineStr">
        <is>
          <t>未开始</t>
        </is>
      </c>
      <c r="Q94" s="33" t="n"/>
      <c r="R94" s="8" t="n"/>
    </row>
    <row r="95">
      <c r="A95" s="24" t="inlineStr">
        <is>
          <t>P6-005</t>
        </is>
      </c>
      <c r="B95" s="24" t="inlineStr">
        <is>
          <t>阶段6 建造制造成长</t>
        </is>
      </c>
      <c r="C95" s="24" t="inlineStr">
        <is>
          <t>G6 发展流程闭环</t>
        </is>
      </c>
      <c r="D95" s="24" t="inlineStr">
        <is>
          <t>UI与交互</t>
        </is>
      </c>
      <c r="E95" s="24" t="inlineStr">
        <is>
          <t>工坊UI</t>
        </is>
      </c>
      <c r="F95" s="24" t="inlineStr">
        <is>
          <t>实现配方、队列与输出缓存界面</t>
        </is>
      </c>
      <c r="G95" s="24" t="inlineStr">
        <is>
          <t>显示图纸、成本、资源、进度、暂停原因和缓存。</t>
        </is>
      </c>
      <c r="H95" s="25" t="inlineStr">
        <is>
          <t>P0</t>
        </is>
      </c>
      <c r="I95" s="24" t="inlineStr">
        <is>
          <t>P6-003,P6-004,P0-008</t>
        </is>
      </c>
      <c r="J95" s="25" t="inlineStr">
        <is>
          <t>A6</t>
        </is>
      </c>
      <c r="K95" s="26" t="n">
        <v>10</v>
      </c>
      <c r="L95" s="26" t="n">
        <v>16</v>
      </c>
      <c r="M95" s="25" t="inlineStr">
        <is>
          <t>中</t>
        </is>
      </c>
      <c r="N95" s="25" t="inlineStr">
        <is>
          <t>程序预算</t>
        </is>
      </c>
      <c r="O95" s="24" t="inlineStr">
        <is>
          <t>玩家能选择配方、取消项目并理解全部阻塞原因。</t>
        </is>
      </c>
      <c r="P95" s="25" t="inlineStr">
        <is>
          <t>未开始</t>
        </is>
      </c>
      <c r="Q95" s="34" t="n"/>
      <c r="R95" s="24" t="n"/>
    </row>
    <row r="96" ht="72" customHeight="1" s="1">
      <c r="A96" s="8" t="inlineStr">
        <is>
          <t>P6-006</t>
        </is>
      </c>
      <c r="B96" s="8" t="inlineStr">
        <is>
          <t>阶段6 建造制造成长</t>
        </is>
      </c>
      <c r="C96" s="8" t="inlineStr">
        <is>
          <t>G6 发展流程闭环</t>
        </is>
      </c>
      <c r="D96" s="8" t="inlineStr">
        <is>
          <t>客户端程序</t>
        </is>
      </c>
      <c r="E96" s="8" t="inlineStr">
        <is>
          <t>任务系统</t>
        </is>
      </c>
      <c r="F96" s="8" t="inlineStr">
        <is>
          <t>实现主线任务组与目标状态</t>
        </is>
      </c>
      <c r="G96" s="8" t="inlineStr">
        <is>
          <t>支持自动派发、并行目标、状态复核、追踪和一次性结算。</t>
        </is>
      </c>
      <c r="H96" s="21" t="inlineStr">
        <is>
          <t>P0</t>
        </is>
      </c>
      <c r="I96" s="8" t="inlineStr">
        <is>
          <t>P0-007,P0-004,P4-013</t>
        </is>
      </c>
      <c r="J96" s="21" t="inlineStr">
        <is>
          <t>A6</t>
        </is>
      </c>
      <c r="K96" s="22" t="n">
        <v>12</v>
      </c>
      <c r="L96" s="22" t="n">
        <v>18</v>
      </c>
      <c r="M96" s="21" t="inlineStr">
        <is>
          <t>低</t>
        </is>
      </c>
      <c r="N96" s="21" t="inlineStr">
        <is>
          <t>程序预算</t>
        </is>
      </c>
      <c r="O96" s="8" t="inlineStr">
        <is>
          <t>真实目标与一次性结算；持续水源派发即给图纸，建泵、产水并首次入库完成，原金币／经验奖励不变。</t>
        </is>
      </c>
      <c r="P96" s="21" t="inlineStr">
        <is>
          <t>未开始</t>
        </is>
      </c>
      <c r="Q96" s="33" t="n"/>
      <c r="R96" s="8" t="inlineStr">
        <is>
          <t>2026-09-10设计同步，未据此变更实现状态。</t>
        </is>
      </c>
    </row>
    <row r="97" ht="72" customHeight="1" s="1">
      <c r="A97" s="24" t="inlineStr">
        <is>
          <t>P6-007</t>
        </is>
      </c>
      <c r="B97" s="24" t="inlineStr">
        <is>
          <t>阶段6 建造制造成长</t>
        </is>
      </c>
      <c r="C97" s="24" t="inlineStr">
        <is>
          <t>G6 发展流程闭环</t>
        </is>
      </c>
      <c r="D97" s="24" t="inlineStr">
        <is>
          <t>客户端程序</t>
        </is>
      </c>
      <c r="E97" s="24" t="inlineStr">
        <is>
          <t>成长</t>
        </is>
      </c>
      <c r="F97" s="24" t="inlineStr">
        <is>
          <t>实现经验、中枢1至3级和功能释放</t>
        </is>
      </c>
      <c r="G97" s="24" t="inlineStr">
        <is>
          <t>累计经验、等级、图纸及能力解锁；基础引导结束开放通用建造，不用中枢2级作为水泵建造前置。</t>
        </is>
      </c>
      <c r="H97" s="25" t="inlineStr">
        <is>
          <t>P0</t>
        </is>
      </c>
      <c r="I97" s="24" t="inlineStr">
        <is>
          <t>P6-006,P5-001,P0-006</t>
        </is>
      </c>
      <c r="J97" s="25" t="inlineStr">
        <is>
          <t>A6</t>
        </is>
      </c>
      <c r="K97" s="26" t="n">
        <v>10</v>
      </c>
      <c r="L97" s="26" t="n">
        <v>16</v>
      </c>
      <c r="M97" s="25" t="inlineStr">
        <is>
          <t>中</t>
        </is>
      </c>
      <c r="N97" s="25" t="inlineStr">
        <is>
          <t>程序预算</t>
        </is>
      </c>
      <c r="O97" s="24" t="inlineStr">
        <is>
          <t>正常主线在基础供应后到2级、探索准备后到3级，提前经验不跳任务。</t>
        </is>
      </c>
      <c r="P97" s="25" t="inlineStr">
        <is>
          <t>未开始</t>
        </is>
      </c>
      <c r="Q97" s="34" t="n"/>
      <c r="R97" s="24" t="inlineStr">
        <is>
          <t>2026-09-10设计同步，未据此变更实现状态。</t>
        </is>
      </c>
    </row>
    <row r="98" ht="24" customHeight="1" s="1">
      <c r="A98" s="8" t="inlineStr">
        <is>
          <t>P6-008</t>
        </is>
      </c>
      <c r="B98" s="8" t="inlineStr">
        <is>
          <t>阶段6 建造制造成长</t>
        </is>
      </c>
      <c r="C98" s="8" t="inlineStr">
        <is>
          <t>G6 发展流程闭环</t>
        </is>
      </c>
      <c r="D98" s="8" t="inlineStr">
        <is>
          <t>UI与交互</t>
        </is>
      </c>
      <c r="E98" s="8" t="inlineStr">
        <is>
          <t>任务UI</t>
        </is>
      </c>
      <c r="F98" s="8" t="inlineStr">
        <is>
          <t>实现任务列表、HUD追踪和奖励领取</t>
        </is>
      </c>
      <c r="G98" s="8" t="inlineStr">
        <is>
          <t>支持进行中、可领取、已完成、快捷定位和一个追踪任务组。</t>
        </is>
      </c>
      <c r="H98" s="21" t="inlineStr">
        <is>
          <t>P0</t>
        </is>
      </c>
      <c r="I98" s="8" t="inlineStr">
        <is>
          <t>P6-006,P6-007,P1-009</t>
        </is>
      </c>
      <c r="J98" s="21" t="inlineStr">
        <is>
          <t>A6</t>
        </is>
      </c>
      <c r="K98" s="22" t="n">
        <v>12</v>
      </c>
      <c r="L98" s="22" t="n">
        <v>18</v>
      </c>
      <c r="M98" s="21" t="inlineStr">
        <is>
          <t>中</t>
        </is>
      </c>
      <c r="N98" s="21" t="inlineStr">
        <is>
          <t>程序预算</t>
        </is>
      </c>
      <c r="O98" s="8" t="inlineStr">
        <is>
          <t>HUD最多显示三目标，完成后自动追踪下一个已派发主线。</t>
        </is>
      </c>
      <c r="P98" s="21" t="inlineStr">
        <is>
          <t>未开始</t>
        </is>
      </c>
      <c r="Q98" s="33" t="n"/>
      <c r="R98" s="8" t="n"/>
    </row>
    <row r="99" ht="72" customHeight="1" s="1">
      <c r="A99" s="24" t="inlineStr">
        <is>
          <t>P6-009</t>
        </is>
      </c>
      <c r="B99" s="24" t="inlineStr">
        <is>
          <t>阶段6 建造制造成长</t>
        </is>
      </c>
      <c r="C99" s="24" t="inlineStr">
        <is>
          <t>G6 发展流程闭环</t>
        </is>
      </c>
      <c r="D99" s="24" t="inlineStr">
        <is>
          <t>UI与交互</t>
        </is>
      </c>
      <c r="E99" s="24" t="inlineStr">
        <is>
          <t>中枢UI</t>
        </is>
      </c>
      <c r="F99" s="24" t="inlineStr">
        <is>
          <t>接入中枢五页业务数据与交互</t>
        </is>
      </c>
      <c r="G99" s="24" t="inlineStr">
        <is>
          <t>复用已验收五页：总览、待处理任务、对象与系统、规则自动化、统计；只补业务绑定与缺失节点，美术只复核新增部分。</t>
        </is>
      </c>
      <c r="H99" s="25" t="inlineStr">
        <is>
          <t>P1</t>
        </is>
      </c>
      <c r="I99" s="24" t="inlineStr">
        <is>
          <t>P2-010,P5-010,P6-008,P0-007</t>
        </is>
      </c>
      <c r="J99" s="25" t="inlineStr">
        <is>
          <t>A6</t>
        </is>
      </c>
      <c r="K99" s="26" t="n">
        <v>12</v>
      </c>
      <c r="L99" s="26" t="n">
        <v>18</v>
      </c>
      <c r="M99" s="25" t="inlineStr">
        <is>
          <t>低</t>
        </is>
      </c>
      <c r="N99" s="25" t="inlineStr">
        <is>
          <t>程序预算</t>
        </is>
      </c>
      <c r="O99" s="24" t="inlineStr">
        <is>
          <t>五页数据与操作权限正确、空／等待／错误状态可用，不重做已验收视觉或多比例适配。</t>
        </is>
      </c>
      <c r="P99" s="25" t="inlineStr">
        <is>
          <t>未开始</t>
        </is>
      </c>
      <c r="Q99" s="34" t="n"/>
      <c r="R99" s="24" t="inlineStr">
        <is>
          <t>2026-09-10设计同步，未据此变更实现状态。</t>
        </is>
      </c>
    </row>
    <row r="100" ht="24.75" customHeight="1" s="1">
      <c r="A100" s="8" t="inlineStr">
        <is>
          <t>P6-010</t>
        </is>
      </c>
      <c r="B100" s="8" t="inlineStr">
        <is>
          <t>阶段6 建造制造成长</t>
        </is>
      </c>
      <c r="C100" s="8" t="inlineStr">
        <is>
          <t>G6 发展流程闭环</t>
        </is>
      </c>
      <c r="D100" s="8" t="inlineStr">
        <is>
          <t>客户端程序</t>
        </is>
      </c>
      <c r="E100" s="8" t="inlineStr">
        <is>
          <t>规则说明</t>
        </is>
      </c>
      <c r="F100" s="8" t="inlineStr">
        <is>
          <t>实现描述ID规则弹窗</t>
        </is>
      </c>
      <c r="G100" s="8" t="inlineStr">
        <is>
          <t>单ID绑定单段配置文本，并支持各界面统一打开与返回。</t>
        </is>
      </c>
      <c r="H100" s="21" t="inlineStr">
        <is>
          <t>P1</t>
        </is>
      </c>
      <c r="I100" s="8" t="inlineStr">
        <is>
          <t>P0-006,P0-008</t>
        </is>
      </c>
      <c r="J100" s="21" t="inlineStr">
        <is>
          <t>A6</t>
        </is>
      </c>
      <c r="K100" s="22" t="n">
        <v>6</v>
      </c>
      <c r="L100" s="22" t="n">
        <v>10</v>
      </c>
      <c r="M100" s="21" t="inlineStr">
        <is>
          <t>高</t>
        </is>
      </c>
      <c r="N100" s="21" t="inlineStr">
        <is>
          <t>程序预算</t>
        </is>
      </c>
      <c r="O100" s="8" t="inlineStr">
        <is>
          <t>任一已配置规则按钮都显示正确且唯一的说明文本。</t>
        </is>
      </c>
      <c r="P100" s="21" t="inlineStr">
        <is>
          <t>未开始</t>
        </is>
      </c>
      <c r="Q100" s="33" t="n"/>
      <c r="R100" s="8" t="n"/>
    </row>
    <row r="101" ht="24" customHeight="1" s="1">
      <c r="A101" s="24" t="inlineStr">
        <is>
          <t>P6-011</t>
        </is>
      </c>
      <c r="B101" s="24" t="inlineStr">
        <is>
          <t>阶段6 建造制造成长</t>
        </is>
      </c>
      <c r="C101" s="24" t="inlineStr">
        <is>
          <t>G6 发展流程闭环</t>
        </is>
      </c>
      <c r="D101" s="24" t="inlineStr">
        <is>
          <t>客户端程序</t>
        </is>
      </c>
      <c r="E101" s="24" t="inlineStr">
        <is>
          <t>警报</t>
        </is>
      </c>
      <c r="F101" s="24" t="inlineStr">
        <is>
          <t>实现三级警报、合并与恢复</t>
        </is>
      </c>
      <c r="G101" s="24" t="inlineStr">
        <is>
          <t>按对象与原因合并持续警报，记录活跃、已读、恢复和定位。</t>
        </is>
      </c>
      <c r="H101" s="25" t="inlineStr">
        <is>
          <t>P0</t>
        </is>
      </c>
      <c r="I101" s="24" t="inlineStr">
        <is>
          <t>P0-007,P1-009</t>
        </is>
      </c>
      <c r="J101" s="25" t="inlineStr">
        <is>
          <t>A6</t>
        </is>
      </c>
      <c r="K101" s="26" t="n">
        <v>10</v>
      </c>
      <c r="L101" s="26" t="n">
        <v>16</v>
      </c>
      <c r="M101" s="25" t="inlineStr">
        <is>
          <t>中</t>
        </is>
      </c>
      <c r="N101" s="25" t="inlineStr">
        <is>
          <t>程序预算</t>
        </is>
      </c>
      <c r="O101" s="24" t="inlineStr">
        <is>
          <t>同源警报不刷屏，恢复后保留历史且可定位责任对象。</t>
        </is>
      </c>
      <c r="P101" s="25" t="inlineStr">
        <is>
          <t>已完成</t>
        </is>
      </c>
      <c r="Q101" s="34" t="n"/>
      <c r="R101" s="24" t="inlineStr">
        <is>
          <t>三级警报/同源合并/恢复转历史/排序已交付并测试(AutoEraAlertService+RegionAlertMonitor 9/9+9/9)；读模型Source身份补齐供定位；AlertForm接线(列表/详情/标记已读/定位/筛选/空与不可用状态)，预制体4按钮绑定回写，NOT_WIRED双侧移除</t>
        </is>
      </c>
    </row>
    <row r="102">
      <c r="A102" s="8" t="inlineStr">
        <is>
          <t>P6-012</t>
        </is>
      </c>
      <c r="B102" s="8" t="inlineStr">
        <is>
          <t>阶段6 建造制造成长</t>
        </is>
      </c>
      <c r="C102" s="8" t="inlineStr">
        <is>
          <t>G6 发展流程闭环</t>
        </is>
      </c>
      <c r="D102" s="8" t="inlineStr">
        <is>
          <t>UI与交互</t>
        </is>
      </c>
      <c r="E102" s="8" t="inlineStr">
        <is>
          <t>警报UI</t>
        </is>
      </c>
      <c r="F102" s="8" t="inlineStr">
        <is>
          <t>实现警报列表、详情和快捷定位</t>
        </is>
      </c>
      <c r="G102" s="8" t="inlineStr">
        <is>
          <t>显示级别、原因、数值、责任链和建议入口。</t>
        </is>
      </c>
      <c r="H102" s="21" t="inlineStr">
        <is>
          <t>P1</t>
        </is>
      </c>
      <c r="I102" s="8" t="inlineStr">
        <is>
          <t>P6-011,P0-008</t>
        </is>
      </c>
      <c r="J102" s="21" t="inlineStr">
        <is>
          <t>A6</t>
        </is>
      </c>
      <c r="K102" s="22" t="n">
        <v>8</v>
      </c>
      <c r="L102" s="22" t="n">
        <v>14</v>
      </c>
      <c r="M102" s="21" t="inlineStr">
        <is>
          <t>中</t>
        </is>
      </c>
      <c r="N102" s="21" t="inlineStr">
        <is>
          <t>程序预算</t>
        </is>
      </c>
      <c r="O102" s="8" t="inlineStr">
        <is>
          <t>玩家能从警报进入相关对象、能源、算法或任务界面。</t>
        </is>
      </c>
      <c r="P102" s="21" t="inlineStr">
        <is>
          <t>进行中</t>
        </is>
      </c>
      <c r="Q102" s="33" t="n"/>
      <c r="R102" s="8" t="inlineStr">
        <is>
          <t>列表/详情/快捷定位已接入(AlertForm接线+读模型10/10+绑定1/1)；「相关详情」跨界面跳转(进入能源/算法/任务界面)待后续跨界面导航批次</t>
        </is>
      </c>
    </row>
    <row r="103" ht="72" customHeight="1" s="1">
      <c r="A103" s="24" t="inlineStr">
        <is>
          <t>P6-013</t>
        </is>
      </c>
      <c r="B103" s="24" t="inlineStr">
        <is>
          <t>阶段6 建造制造成长</t>
        </is>
      </c>
      <c r="C103" s="24" t="inlineStr">
        <is>
          <t>G6 发展流程闭环</t>
        </is>
      </c>
      <c r="D103" s="24" t="inlineStr">
        <is>
          <t>配置与内容</t>
        </is>
      </c>
      <c r="E103" s="24" t="inlineStr">
        <is>
          <t>主线内容</t>
        </is>
      </c>
      <c r="F103" s="24" t="inlineStr">
        <is>
          <t>录入第一版主线、奖励、图纸和文案</t>
        </is>
      </c>
      <c r="G103" s="24" t="inlineStr">
        <is>
          <t>同步DEC-194：基础引导后开放建造，持续水源派发给予水泵图纸，首次放置简短教学；不新增任务或改原奖励。</t>
        </is>
      </c>
      <c r="H103" s="25" t="inlineStr">
        <is>
          <t>P0</t>
        </is>
      </c>
      <c r="I103" s="24" t="inlineStr">
        <is>
          <t>P6-006,P6-007,P6-010</t>
        </is>
      </c>
      <c r="J103" s="25" t="inlineStr">
        <is>
          <t>A6</t>
        </is>
      </c>
      <c r="K103" s="26" t="n">
        <v>10</v>
      </c>
      <c r="L103" s="26" t="n">
        <v>16</v>
      </c>
      <c r="M103" s="25" t="inlineStr">
        <is>
          <t>中</t>
        </is>
      </c>
      <c r="N103" s="25" t="inlineStr">
        <is>
          <t>程序预算</t>
        </is>
      </c>
      <c r="O103" s="24" t="inlineStr">
        <is>
          <t>任务名称、目标、奖励和解锁与流程文档一致。</t>
        </is>
      </c>
      <c r="P103" s="25" t="inlineStr">
        <is>
          <t>未开始</t>
        </is>
      </c>
      <c r="Q103" s="34" t="n"/>
      <c r="R103" s="24" t="inlineStr">
        <is>
          <t>2026-09-10设计同步，未据此变更实现状态。</t>
        </is>
      </c>
    </row>
    <row r="104" ht="72" customHeight="1" s="1">
      <c r="A104" s="8" t="inlineStr">
        <is>
          <t>P6-014</t>
        </is>
      </c>
      <c r="B104" s="8" t="inlineStr">
        <is>
          <t>阶段6 建造制造成长</t>
        </is>
      </c>
      <c r="C104" s="8" t="inlineStr">
        <is>
          <t>G6 发展流程闭环</t>
        </is>
      </c>
      <c r="D104" s="8" t="inlineStr">
        <is>
          <t>灰盒与预制体</t>
        </is>
      </c>
      <c r="E104" s="8" t="inlineStr">
        <is>
          <t>建筑状态</t>
        </is>
      </c>
      <c r="F104" s="8" t="inlineStr">
        <is>
          <t>补齐施工、工坊与能源建筑状态表现</t>
        </is>
      </c>
      <c r="G104" s="8" t="inlineStr">
        <is>
          <t>施工围栏碰撞、装饰与建筑虚影；工坊／能源状态由UI表达，保持静态外壳，不新增内部机械、库存四档或发电特效。</t>
        </is>
      </c>
      <c r="H104" s="21" t="inlineStr">
        <is>
          <t>P1</t>
        </is>
      </c>
      <c r="I104" s="8" t="inlineStr">
        <is>
          <t>P1-008,P6-001,P6-003,P5-007,P5-008</t>
        </is>
      </c>
      <c r="J104" s="21" t="inlineStr">
        <is>
          <t>A6</t>
        </is>
      </c>
      <c r="K104" s="22" t="n">
        <v>10</v>
      </c>
      <c r="L104" s="22" t="n">
        <v>16</v>
      </c>
      <c r="M104" s="21" t="inlineStr">
        <is>
          <t>中</t>
        </is>
      </c>
      <c r="N104" s="21" t="inlineStr">
        <is>
          <t>美术资源预算</t>
        </is>
      </c>
      <c r="O104" s="8" t="inlineStr">
        <is>
          <t>施工区域不可进入，完成／取消清退临时表现，附属物不增加用地；不实现修复施工。</t>
        </is>
      </c>
      <c r="P104" s="21" t="inlineStr">
        <is>
          <t>未开始</t>
        </is>
      </c>
      <c r="Q104" s="33" t="n"/>
      <c r="R104" s="8" t="inlineStr">
        <is>
          <t>2026-09-10设计同步，未据此变更实现状态。</t>
        </is>
      </c>
    </row>
    <row r="105" ht="24" customHeight="1" s="1">
      <c r="A105" s="24" t="inlineStr">
        <is>
          <t>G6-001</t>
        </is>
      </c>
      <c r="B105" s="24" t="inlineStr">
        <is>
          <t>阶段6 建造制造成长</t>
        </is>
      </c>
      <c r="C105" s="24" t="inlineStr">
        <is>
          <t>G6 发展流程闭环</t>
        </is>
      </c>
      <c r="D105" s="24" t="inlineStr">
        <is>
          <t>集成与阶段验收</t>
        </is>
      </c>
      <c r="E105" s="24" t="inlineStr">
        <is>
          <t>阶段验收</t>
        </is>
      </c>
      <c r="F105" s="24" t="inlineStr">
        <is>
          <t>发展流程闭环验收</t>
        </is>
      </c>
      <c r="G105" s="24" t="inlineStr">
        <is>
          <t>确认蓄电、建造、制造、任务、经验、升级和警报形成主线闭环。</t>
        </is>
      </c>
      <c r="H105" s="25" t="inlineStr">
        <is>
          <t>P0</t>
        </is>
      </c>
      <c r="I105" s="24" t="inlineStr">
        <is>
          <t>P6-002,P6-004,P6-005,P6-007,P6-008,P6-011,P6-013,P6-015</t>
        </is>
      </c>
      <c r="J105" s="25" t="inlineStr">
        <is>
          <t>G6</t>
        </is>
      </c>
      <c r="K105" s="26" t="n">
        <v>10</v>
      </c>
      <c r="L105" s="26" t="n">
        <v>16</v>
      </c>
      <c r="M105" s="25" t="inlineStr">
        <is>
          <t>低</t>
        </is>
      </c>
      <c r="N105" s="25" t="inlineStr">
        <is>
          <t>程序预算</t>
        </is>
      </c>
      <c r="O105" s="24" t="inlineStr">
        <is>
          <t>玩家能从中枢2级完成蓄电与制造教学，并在有效负载下完成供电扩张。</t>
        </is>
      </c>
      <c r="P105" s="25" t="inlineStr">
        <is>
          <t>未开始</t>
        </is>
      </c>
      <c r="Q105" s="34" t="n"/>
      <c r="R105" s="24" t="n"/>
    </row>
    <row r="106" ht="24" customHeight="1" s="1">
      <c r="A106" s="8" t="inlineStr">
        <is>
          <t>P7-001</t>
        </is>
      </c>
      <c r="B106" s="8" t="inlineStr">
        <is>
          <t>阶段7 存档离线</t>
        </is>
      </c>
      <c r="C106" s="8" t="inlineStr">
        <is>
          <t>G7 状态可持续</t>
        </is>
      </c>
      <c r="D106" s="8" t="inlineStr">
        <is>
          <t>客户端程序</t>
        </is>
      </c>
      <c r="E106" s="8" t="inlineStr">
        <is>
          <t>存档</t>
        </is>
      </c>
      <c r="F106" s="8" t="inlineStr">
        <is>
          <t>实现三槽存档与元数据</t>
        </is>
      </c>
      <c r="G106" s="8" t="inlineStr">
        <is>
          <t>实现三个进度槽、正式存档、版本、时间和摘要元数据。</t>
        </is>
      </c>
      <c r="H106" s="21" t="inlineStr">
        <is>
          <t>P0</t>
        </is>
      </c>
      <c r="I106" s="8" t="inlineStr">
        <is>
          <t>P0-004,P0-005,P0-006</t>
        </is>
      </c>
      <c r="J106" s="21" t="inlineStr">
        <is>
          <t>A7</t>
        </is>
      </c>
      <c r="K106" s="22" t="n">
        <v>10</v>
      </c>
      <c r="L106" s="22" t="n">
        <v>16</v>
      </c>
      <c r="M106" s="21" t="inlineStr">
        <is>
          <t>低</t>
        </is>
      </c>
      <c r="N106" s="21" t="inlineStr">
        <is>
          <t>程序预算</t>
        </is>
      </c>
      <c r="O106" s="8" t="inlineStr">
        <is>
          <t>三个槽互不污染，可创建、覆盖、读取和删除。</t>
        </is>
      </c>
      <c r="P106" s="21" t="inlineStr">
        <is>
          <t>已完成</t>
        </is>
      </c>
      <c r="Q106" s="33" t="n"/>
      <c r="R106" s="8" t="n"/>
    </row>
    <row r="107" ht="24" customHeight="1" s="1">
      <c r="A107" s="24" t="inlineStr">
        <is>
          <t>P7-002</t>
        </is>
      </c>
      <c r="B107" s="24" t="inlineStr">
        <is>
          <t>阶段7 存档离线</t>
        </is>
      </c>
      <c r="C107" s="24" t="inlineStr">
        <is>
          <t>G7 状态可持续</t>
        </is>
      </c>
      <c r="D107" s="24" t="inlineStr">
        <is>
          <t>客户端程序</t>
        </is>
      </c>
      <c r="E107" s="24" t="inlineStr">
        <is>
          <t>存档</t>
        </is>
      </c>
      <c r="F107" s="24" t="inlineStr">
        <is>
          <t>实现原子写入、校验与三份滚动备份</t>
        </is>
      </c>
      <c r="G107" s="24" t="inlineStr">
        <is>
          <t>处理异步快照、临时文件替换、校验失败和自动恢复。</t>
        </is>
      </c>
      <c r="H107" s="25" t="inlineStr">
        <is>
          <t>P0</t>
        </is>
      </c>
      <c r="I107" s="24" t="inlineStr">
        <is>
          <t>P7-001</t>
        </is>
      </c>
      <c r="J107" s="25" t="inlineStr">
        <is>
          <t>A7</t>
        </is>
      </c>
      <c r="K107" s="26" t="n">
        <v>12</v>
      </c>
      <c r="L107" s="26" t="n">
        <v>18</v>
      </c>
      <c r="M107" s="25" t="inlineStr">
        <is>
          <t>低</t>
        </is>
      </c>
      <c r="N107" s="25" t="inlineStr">
        <is>
          <t>程序预算</t>
        </is>
      </c>
      <c r="O107" s="24" t="inlineStr">
        <is>
          <t>写入中断不破坏最后有效存档，损坏时可恢复最近备份。</t>
        </is>
      </c>
      <c r="P107" s="25" t="inlineStr">
        <is>
          <t>未开始</t>
        </is>
      </c>
      <c r="Q107" s="34" t="n"/>
      <c r="R107" s="24" t="n"/>
    </row>
    <row r="108" ht="24" customHeight="1" s="1">
      <c r="A108" s="8" t="inlineStr">
        <is>
          <t>P7-003</t>
        </is>
      </c>
      <c r="B108" s="8" t="inlineStr">
        <is>
          <t>阶段7 存档离线</t>
        </is>
      </c>
      <c r="C108" s="8" t="inlineStr">
        <is>
          <t>G7 状态可持续</t>
        </is>
      </c>
      <c r="D108" s="8" t="inlineStr">
        <is>
          <t>客户端程序</t>
        </is>
      </c>
      <c r="E108" s="8" t="inlineStr">
        <is>
          <t>存档</t>
        </is>
      </c>
      <c r="F108" s="8" t="inlineStr">
        <is>
          <t>接入世界、对象与机器状态快照</t>
        </is>
      </c>
      <c r="G108" s="8" t="inlineStr">
        <is>
          <t>保存区域时间、对象ID、机器硬件、位置、状态、任务和行为进度。</t>
        </is>
      </c>
      <c r="H108" s="21" t="inlineStr">
        <is>
          <t>P0</t>
        </is>
      </c>
      <c r="I108" s="8" t="inlineStr">
        <is>
          <t>P7-001,G2-001,P1-001</t>
        </is>
      </c>
      <c r="J108" s="21" t="inlineStr">
        <is>
          <t>A7</t>
        </is>
      </c>
      <c r="K108" s="22" t="n">
        <v>12</v>
      </c>
      <c r="L108" s="22" t="n">
        <v>18</v>
      </c>
      <c r="M108" s="21" t="inlineStr">
        <is>
          <t>低</t>
        </is>
      </c>
      <c r="N108" s="21" t="inlineStr">
        <is>
          <t>程序预算</t>
        </is>
      </c>
      <c r="O108" s="8" t="inlineStr">
        <is>
          <t>读取后对象关系、机器配置和进行中行为与保存前一致。</t>
        </is>
      </c>
      <c r="P108" s="21" t="inlineStr">
        <is>
          <t>未开始</t>
        </is>
      </c>
      <c r="Q108" s="33" t="n"/>
      <c r="R108" s="8" t="n"/>
    </row>
    <row r="109" ht="24" customHeight="1" s="1">
      <c r="A109" s="24" t="inlineStr">
        <is>
          <t>P7-004</t>
        </is>
      </c>
      <c r="B109" s="24" t="inlineStr">
        <is>
          <t>阶段7 存档离线</t>
        </is>
      </c>
      <c r="C109" s="24" t="inlineStr">
        <is>
          <t>G7 状态可持续</t>
        </is>
      </c>
      <c r="D109" s="24" t="inlineStr">
        <is>
          <t>客户端程序</t>
        </is>
      </c>
      <c r="E109" s="24" t="inlineStr">
        <is>
          <t>存档</t>
        </is>
      </c>
      <c r="F109" s="24" t="inlineStr">
        <is>
          <t>接入算法与诊断状态快照</t>
        </is>
      </c>
      <c r="G109" s="24" t="inlineStr">
        <is>
          <t>保存草稿、运行实例、节点状态、参数、绑定、队列和记录。</t>
        </is>
      </c>
      <c r="H109" s="25" t="inlineStr">
        <is>
          <t>P0</t>
        </is>
      </c>
      <c r="I109" s="24" t="inlineStr">
        <is>
          <t>P7-003,G3-001</t>
        </is>
      </c>
      <c r="J109" s="25" t="inlineStr">
        <is>
          <t>A7</t>
        </is>
      </c>
      <c r="K109" s="26" t="n">
        <v>12</v>
      </c>
      <c r="L109" s="26" t="n">
        <v>18</v>
      </c>
      <c r="M109" s="25" t="inlineStr">
        <is>
          <t>低</t>
        </is>
      </c>
      <c r="N109" s="25" t="inlineStr">
        <is>
          <t>程序预算</t>
        </is>
      </c>
      <c r="O109" s="24" t="inlineStr">
        <is>
          <t>读取不会重复触发启动事件或丢失算法责任链。</t>
        </is>
      </c>
      <c r="P109" s="25" t="inlineStr">
        <is>
          <t>未开始</t>
        </is>
      </c>
      <c r="Q109" s="34" t="n"/>
      <c r="R109" s="24" t="n"/>
    </row>
    <row r="110" ht="72" customHeight="1" s="1">
      <c r="A110" s="8" t="inlineStr">
        <is>
          <t>P7-005</t>
        </is>
      </c>
      <c r="B110" s="8" t="inlineStr">
        <is>
          <t>阶段7 存档离线</t>
        </is>
      </c>
      <c r="C110" s="8" t="inlineStr">
        <is>
          <t>G7 状态可持续</t>
        </is>
      </c>
      <c r="D110" s="8" t="inlineStr">
        <is>
          <t>客户端程序</t>
        </is>
      </c>
      <c r="E110" s="8" t="inlineStr">
        <is>
          <t>存档</t>
        </is>
      </c>
      <c r="F110" s="8" t="inlineStr">
        <is>
          <t>接入生产、经济与能源状态快照</t>
        </is>
      </c>
      <c r="G110" s="8" t="inlineStr">
        <is>
          <t>保存逐土地湿度与批次、逐树状态、矿脉总量及待换日清场标志、水域无限语义、水泵暂存与施工，以及既有库存和能源。</t>
        </is>
      </c>
      <c r="H110" s="21" t="inlineStr">
        <is>
          <t>P0</t>
        </is>
      </c>
      <c r="I110" s="8" t="inlineStr">
        <is>
          <t>P7-003,G5-001,G6-001</t>
        </is>
      </c>
      <c r="J110" s="21" t="inlineStr">
        <is>
          <t>A7</t>
        </is>
      </c>
      <c r="K110" s="22" t="n">
        <v>12</v>
      </c>
      <c r="L110" s="22" t="n">
        <v>18</v>
      </c>
      <c r="M110" s="21" t="inlineStr">
        <is>
          <t>低</t>
        </is>
      </c>
      <c r="N110" s="21" t="inlineStr">
        <is>
          <t>程序预算</t>
        </is>
      </c>
      <c r="O110" s="8" t="inlineStr">
        <is>
          <t>读取后资源总量守恒，进度和一次性购买状态不回退。</t>
        </is>
      </c>
      <c r="P110" s="21" t="inlineStr">
        <is>
          <t>未开始</t>
        </is>
      </c>
      <c r="Q110" s="33" t="n"/>
      <c r="R110" s="8" t="inlineStr">
        <is>
          <t>2026-09-10设计同步，未据此变更实现状态。</t>
        </is>
      </c>
    </row>
    <row r="111" ht="24" customHeight="1" s="1">
      <c r="A111" s="24" t="inlineStr">
        <is>
          <t>P7-006</t>
        </is>
      </c>
      <c r="B111" s="24" t="inlineStr">
        <is>
          <t>阶段7 存档离线</t>
        </is>
      </c>
      <c r="C111" s="24" t="inlineStr">
        <is>
          <t>G7 状态可持续</t>
        </is>
      </c>
      <c r="D111" s="24" t="inlineStr">
        <is>
          <t>客户端程序</t>
        </is>
      </c>
      <c r="E111" s="24" t="inlineStr">
        <is>
          <t>存档</t>
        </is>
      </c>
      <c r="F111" s="24" t="inlineStr">
        <is>
          <t>接入任务、成长与日常补给状态</t>
        </is>
      </c>
      <c r="G111" s="24" t="inlineStr">
        <is>
          <t>保存任务目标、奖励、经验、等级、图纸和领取日期。</t>
        </is>
      </c>
      <c r="H111" s="25" t="inlineStr">
        <is>
          <t>P0</t>
        </is>
      </c>
      <c r="I111" s="24" t="inlineStr">
        <is>
          <t>P7-005,P6-007,P5-013</t>
        </is>
      </c>
      <c r="J111" s="25" t="inlineStr">
        <is>
          <t>A7</t>
        </is>
      </c>
      <c r="K111" s="26" t="n">
        <v>8</v>
      </c>
      <c r="L111" s="26" t="n">
        <v>14</v>
      </c>
      <c r="M111" s="25" t="inlineStr">
        <is>
          <t>中</t>
        </is>
      </c>
      <c r="N111" s="25" t="inlineStr">
        <is>
          <t>程序预算</t>
        </is>
      </c>
      <c r="O111" s="24" t="inlineStr">
        <is>
          <t>一次性奖励、经验和日常补给不能因读档重复领取。</t>
        </is>
      </c>
      <c r="P111" s="25" t="inlineStr">
        <is>
          <t>未开始</t>
        </is>
      </c>
      <c r="Q111" s="34" t="n"/>
      <c r="R111" s="24" t="n"/>
    </row>
    <row r="112" ht="24" customHeight="1" s="1">
      <c r="A112" s="8" t="inlineStr">
        <is>
          <t>P7-007</t>
        </is>
      </c>
      <c r="B112" s="8" t="inlineStr">
        <is>
          <t>阶段7 存档离线</t>
        </is>
      </c>
      <c r="C112" s="8" t="inlineStr">
        <is>
          <t>G7 状态可持续</t>
        </is>
      </c>
      <c r="D112" s="8" t="inlineStr">
        <is>
          <t>客户端程序</t>
        </is>
      </c>
      <c r="E112" s="8" t="inlineStr">
        <is>
          <t>离线推进</t>
        </is>
      </c>
      <c r="F112" s="8" t="inlineStr">
        <is>
          <t>实现确定性事件跳跃调度器</t>
        </is>
      </c>
      <c r="G112" s="8" t="inlineStr">
        <is>
          <t>按下一有意义事件与固定同刻顺序推进，不逐帧重播。</t>
        </is>
      </c>
      <c r="H112" s="21" t="inlineStr">
        <is>
          <t>P0</t>
        </is>
      </c>
      <c r="I112" s="8" t="inlineStr">
        <is>
          <t>P0-005,P7-003,P7-004</t>
        </is>
      </c>
      <c r="J112" s="21" t="inlineStr">
        <is>
          <t>A7</t>
        </is>
      </c>
      <c r="K112" s="22" t="n">
        <v>14</v>
      </c>
      <c r="L112" s="22" t="n">
        <v>18</v>
      </c>
      <c r="M112" s="21" t="inlineStr">
        <is>
          <t>低</t>
        </is>
      </c>
      <c r="N112" s="21" t="inlineStr">
        <is>
          <t>程序预算</t>
        </is>
      </c>
      <c r="O112" s="8" t="inlineStr">
        <is>
          <t>相同存档与离线时长得到一致结果，事件预算可分帧继续。</t>
        </is>
      </c>
      <c r="P112" s="21" t="inlineStr">
        <is>
          <t>未开始</t>
        </is>
      </c>
      <c r="Q112" s="33" t="n"/>
      <c r="R112" s="8" t="n"/>
    </row>
    <row r="113" ht="24" customHeight="1" s="1">
      <c r="A113" s="24" t="inlineStr">
        <is>
          <t>P7-008</t>
        </is>
      </c>
      <c r="B113" s="24" t="inlineStr">
        <is>
          <t>阶段7 存档离线</t>
        </is>
      </c>
      <c r="C113" s="24" t="inlineStr">
        <is>
          <t>G7 状态可持续</t>
        </is>
      </c>
      <c r="D113" s="24" t="inlineStr">
        <is>
          <t>客户端程序</t>
        </is>
      </c>
      <c r="E113" s="24" t="inlineStr">
        <is>
          <t>离线推进</t>
        </is>
      </c>
      <c r="F113" s="24" t="inlineStr">
        <is>
          <t>接入生产、能源和机器行为离线事件</t>
        </is>
      </c>
      <c r="G113" s="24" t="inlineStr">
        <is>
          <t>推进农业、资源点、缓存、五模板、导航、运输和电网到真实阻塞。</t>
        </is>
      </c>
      <c r="H113" s="25" t="inlineStr">
        <is>
          <t>P0</t>
        </is>
      </c>
      <c r="I113" s="24" t="inlineStr">
        <is>
          <t>P7-007,P7-005</t>
        </is>
      </c>
      <c r="J113" s="25" t="inlineStr">
        <is>
          <t>A7</t>
        </is>
      </c>
      <c r="K113" s="26" t="n">
        <v>14</v>
      </c>
      <c r="L113" s="26" t="n">
        <v>18</v>
      </c>
      <c r="M113" s="25" t="inlineStr">
        <is>
          <t>低</t>
        </is>
      </c>
      <c r="N113" s="25" t="inlineStr">
        <is>
          <t>程序预算</t>
        </is>
      </c>
      <c r="O113" s="24" t="inlineStr">
        <is>
          <t>离线收益不会越过缺电、容量、资源、路径或算法错误。</t>
        </is>
      </c>
      <c r="P113" s="25" t="inlineStr">
        <is>
          <t>未开始</t>
        </is>
      </c>
      <c r="Q113" s="34" t="n"/>
      <c r="R113" s="24" t="n"/>
    </row>
    <row r="114" ht="24" customHeight="1" s="1">
      <c r="A114" s="8" t="inlineStr">
        <is>
          <t>P7-009</t>
        </is>
      </c>
      <c r="B114" s="8" t="inlineStr">
        <is>
          <t>阶段7 存档离线</t>
        </is>
      </c>
      <c r="C114" s="8" t="inlineStr">
        <is>
          <t>G7 状态可持续</t>
        </is>
      </c>
      <c r="D114" s="8" t="inlineStr">
        <is>
          <t>客户端程序</t>
        </is>
      </c>
      <c r="E114" s="8" t="inlineStr">
        <is>
          <t>离线推进</t>
        </is>
      </c>
      <c r="F114" s="8" t="inlineStr">
        <is>
          <t>接入施工、制造、任务和经验离线事件</t>
        </is>
      </c>
      <c r="G114" s="8" t="inlineStr">
        <is>
          <t>推进施工制造及由实际结果触发的任务成长。</t>
        </is>
      </c>
      <c r="H114" s="21" t="inlineStr">
        <is>
          <t>P0</t>
        </is>
      </c>
      <c r="I114" s="8" t="inlineStr">
        <is>
          <t>P7-007,P7-005,P7-006</t>
        </is>
      </c>
      <c r="J114" s="21" t="inlineStr">
        <is>
          <t>A7</t>
        </is>
      </c>
      <c r="K114" s="22" t="n">
        <v>10</v>
      </c>
      <c r="L114" s="22" t="n">
        <v>16</v>
      </c>
      <c r="M114" s="21" t="inlineStr">
        <is>
          <t>低</t>
        </is>
      </c>
      <c r="N114" s="21" t="inlineStr">
        <is>
          <t>程序预算</t>
        </is>
      </c>
      <c r="O114" s="8" t="inlineStr">
        <is>
          <t>离线不会替玩家购买、选择配方、升级或领取普通奖励。</t>
        </is>
      </c>
      <c r="P114" s="21" t="inlineStr">
        <is>
          <t>未开始</t>
        </is>
      </c>
      <c r="Q114" s="33" t="n"/>
      <c r="R114" s="8" t="n"/>
    </row>
    <row r="115" ht="24" customHeight="1" s="1">
      <c r="A115" s="24" t="inlineStr">
        <is>
          <t>P7-010</t>
        </is>
      </c>
      <c r="B115" s="24" t="inlineStr">
        <is>
          <t>阶段7 存档离线</t>
        </is>
      </c>
      <c r="C115" s="24" t="inlineStr">
        <is>
          <t>G7 状态可持续</t>
        </is>
      </c>
      <c r="D115" s="24" t="inlineStr">
        <is>
          <t>客户端程序</t>
        </is>
      </c>
      <c r="E115" s="24" t="inlineStr">
        <is>
          <t>离线报告</t>
        </is>
      </c>
      <c r="F115" s="24" t="inlineStr">
        <is>
          <t>生成离线结算摘要与阻塞聚合</t>
        </is>
      </c>
      <c r="G115" s="24" t="inlineStr">
        <is>
          <t>聚合净变化、完成事项、首次阻塞、损失和未解决异常。</t>
        </is>
      </c>
      <c r="H115" s="25" t="inlineStr">
        <is>
          <t>P0</t>
        </is>
      </c>
      <c r="I115" s="24" t="inlineStr">
        <is>
          <t>P7-008,P7-009,P0-007</t>
        </is>
      </c>
      <c r="J115" s="25" t="inlineStr">
        <is>
          <t>A7</t>
        </is>
      </c>
      <c r="K115" s="26" t="n">
        <v>10</v>
      </c>
      <c r="L115" s="26" t="n">
        <v>16</v>
      </c>
      <c r="M115" s="25" t="inlineStr">
        <is>
          <t>中</t>
        </is>
      </c>
      <c r="N115" s="25" t="inlineStr">
        <is>
          <t>程序预算</t>
        </is>
      </c>
      <c r="O115" s="24" t="inlineStr">
        <is>
          <t>报告只结算一次，可在中枢历史重看且不逐条刷屏。</t>
        </is>
      </c>
      <c r="P115" s="25" t="inlineStr">
        <is>
          <t>未开始</t>
        </is>
      </c>
      <c r="Q115" s="34" t="n"/>
      <c r="R115" s="24" t="n"/>
    </row>
    <row r="116" ht="24" customHeight="1" s="1">
      <c r="A116" s="8" t="inlineStr">
        <is>
          <t>P7-011</t>
        </is>
      </c>
      <c r="B116" s="8" t="inlineStr">
        <is>
          <t>阶段7 存档离线</t>
        </is>
      </c>
      <c r="C116" s="8" t="inlineStr">
        <is>
          <t>G7 状态可持续</t>
        </is>
      </c>
      <c r="D116" s="8" t="inlineStr">
        <is>
          <t>UI与交互</t>
        </is>
      </c>
      <c r="E116" s="8" t="inlineStr">
        <is>
          <t>存档UI</t>
        </is>
      </c>
      <c r="F116" s="8" t="inlineStr">
        <is>
          <t>实现存档槽、写入状态与恢复提示</t>
        </is>
      </c>
      <c r="G116" s="8" t="inlineStr">
        <is>
          <t>提供三槽管理、异步保存、备份恢复和强确认。</t>
        </is>
      </c>
      <c r="H116" s="21" t="inlineStr">
        <is>
          <t>P0</t>
        </is>
      </c>
      <c r="I116" s="8" t="inlineStr">
        <is>
          <t>P7-002,P0-008</t>
        </is>
      </c>
      <c r="J116" s="21" t="inlineStr">
        <is>
          <t>A7</t>
        </is>
      </c>
      <c r="K116" s="22" t="n">
        <v>10</v>
      </c>
      <c r="L116" s="22" t="n">
        <v>16</v>
      </c>
      <c r="M116" s="21" t="inlineStr">
        <is>
          <t>中</t>
        </is>
      </c>
      <c r="N116" s="21" t="inlineStr">
        <is>
          <t>程序预算</t>
        </is>
      </c>
      <c r="O116" s="8" t="inlineStr">
        <is>
          <t>玩家能理解保存状态与恢复来源，危险操作均有明确确认。</t>
        </is>
      </c>
      <c r="P116" s="21" t="inlineStr">
        <is>
          <t>未开始</t>
        </is>
      </c>
      <c r="Q116" s="33" t="n"/>
      <c r="R116" s="8" t="n"/>
    </row>
    <row r="117" ht="24" customHeight="1" s="1">
      <c r="A117" s="24" t="inlineStr">
        <is>
          <t>P7-012</t>
        </is>
      </c>
      <c r="B117" s="24" t="inlineStr">
        <is>
          <t>阶段7 存档离线</t>
        </is>
      </c>
      <c r="C117" s="24" t="inlineStr">
        <is>
          <t>G7 状态可持续</t>
        </is>
      </c>
      <c r="D117" s="24" t="inlineStr">
        <is>
          <t>UI与交互</t>
        </is>
      </c>
      <c r="E117" s="24" t="inlineStr">
        <is>
          <t>离线UI</t>
        </is>
      </c>
      <c r="F117" s="24" t="inlineStr">
        <is>
          <t>实现离线结算进度与回归报告</t>
        </is>
      </c>
      <c r="G117" s="24" t="inlineStr">
        <is>
          <t>在取得世界控制前显示进度、摘要和未解决阻塞。</t>
        </is>
      </c>
      <c r="H117" s="25" t="inlineStr">
        <is>
          <t>P0</t>
        </is>
      </c>
      <c r="I117" s="24" t="inlineStr">
        <is>
          <t>P7-010,P0-008</t>
        </is>
      </c>
      <c r="J117" s="25" t="inlineStr">
        <is>
          <t>A7</t>
        </is>
      </c>
      <c r="K117" s="26" t="n">
        <v>8</v>
      </c>
      <c r="L117" s="26" t="n">
        <v>14</v>
      </c>
      <c r="M117" s="25" t="inlineStr">
        <is>
          <t>中</t>
        </is>
      </c>
      <c r="N117" s="25" t="inlineStr">
        <is>
          <t>程序预算</t>
        </is>
      </c>
      <c r="O117" s="24" t="inlineStr">
        <is>
          <t>长时间离线不会假死，报告关闭后世界状态与摘要一致。</t>
        </is>
      </c>
      <c r="P117" s="25" t="inlineStr">
        <is>
          <t>未开始</t>
        </is>
      </c>
      <c r="Q117" s="34" t="n"/>
      <c r="R117" s="24" t="n"/>
    </row>
    <row r="118" ht="24" customHeight="1" s="1">
      <c r="A118" s="8" t="inlineStr">
        <is>
          <t>G7-001</t>
        </is>
      </c>
      <c r="B118" s="8" t="inlineStr">
        <is>
          <t>阶段7 存档离线</t>
        </is>
      </c>
      <c r="C118" s="8" t="inlineStr">
        <is>
          <t>G7 状态可持续</t>
        </is>
      </c>
      <c r="D118" s="8" t="inlineStr">
        <is>
          <t>集成与阶段验收</t>
        </is>
      </c>
      <c r="E118" s="8" t="inlineStr">
        <is>
          <t>阶段验收</t>
        </is>
      </c>
      <c r="F118" s="8" t="inlineStr">
        <is>
          <t>存档与离线闭环验收</t>
        </is>
      </c>
      <c r="G118" s="8" t="inlineStr">
        <is>
          <t>确认复杂运行状态可保存、恢复、离线推进并生成一致报告。</t>
        </is>
      </c>
      <c r="H118" s="21" t="inlineStr">
        <is>
          <t>P0</t>
        </is>
      </c>
      <c r="I118" s="8" t="inlineStr">
        <is>
          <t>P7-002,P7-004,P7-006,P7-008,P7-009,P7-011,P7-012</t>
        </is>
      </c>
      <c r="J118" s="21" t="inlineStr">
        <is>
          <t>G7</t>
        </is>
      </c>
      <c r="K118" s="22" t="n">
        <v>12</v>
      </c>
      <c r="L118" s="22" t="n">
        <v>18</v>
      </c>
      <c r="M118" s="21" t="inlineStr">
        <is>
          <t>低</t>
        </is>
      </c>
      <c r="N118" s="21" t="inlineStr">
        <is>
          <t>程序预算</t>
        </is>
      </c>
      <c r="O118" s="8" t="inlineStr">
        <is>
          <t>从生产运行中退出再进入，在线与离线结果守恒且无重复奖励／动作。</t>
        </is>
      </c>
      <c r="P118" s="21" t="inlineStr">
        <is>
          <t>未开始</t>
        </is>
      </c>
      <c r="Q118" s="33" t="n"/>
      <c r="R118" s="8" t="n"/>
    </row>
    <row r="119" ht="24" customHeight="1" s="1">
      <c r="A119" s="24" t="inlineStr">
        <is>
          <t>P8-001</t>
        </is>
      </c>
      <c r="B119" s="24" t="inlineStr">
        <is>
          <t>阶段8 引导与版本终点</t>
        </is>
      </c>
      <c r="C119" s="24" t="inlineStr">
        <is>
          <t>G8 第一版完成</t>
        </is>
      </c>
      <c r="D119" s="24" t="inlineStr">
        <is>
          <t>客户端程序</t>
        </is>
      </c>
      <c r="E119" s="24" t="inlineStr">
        <is>
          <t>基础引导</t>
        </is>
      </c>
      <c r="F119" s="24" t="inlineStr">
        <is>
          <t>实现不可跳过的基础引导状态机</t>
        </is>
      </c>
      <c r="G119" s="24" t="inlineStr">
        <is>
          <t>实现常驻图标、六段文案、五阶段流程判定和第二资源入库追踪。</t>
        </is>
      </c>
      <c r="H119" s="25" t="inlineStr">
        <is>
          <t>P0</t>
        </is>
      </c>
      <c r="I119" s="24" t="inlineStr">
        <is>
          <t>G4-001,P5-003,P5-005,P6-010</t>
        </is>
      </c>
      <c r="J119" s="25" t="inlineStr">
        <is>
          <t>A8</t>
        </is>
      </c>
      <c r="K119" s="26" t="n">
        <v>12</v>
      </c>
      <c r="L119" s="26" t="n">
        <v>18</v>
      </c>
      <c r="M119" s="25" t="inlineStr">
        <is>
          <t>低</t>
        </is>
      </c>
      <c r="N119" s="25" t="inlineStr">
        <is>
          <t>程序预算</t>
        </is>
      </c>
      <c r="O119" s="24" t="inlineStr">
        <is>
          <t>新存档只能按真实操作完成引导，已有库存不能绕过第二资源贡献。</t>
        </is>
      </c>
      <c r="P119" s="25" t="inlineStr">
        <is>
          <t>未开始</t>
        </is>
      </c>
      <c r="Q119" s="34" t="n"/>
      <c r="R119" s="24" t="n"/>
    </row>
    <row r="120" ht="72" customHeight="1" s="1">
      <c r="A120" s="8" t="inlineStr">
        <is>
          <t>P8-002</t>
        </is>
      </c>
      <c r="B120" s="8" t="inlineStr">
        <is>
          <t>阶段8 引导与版本终点</t>
        </is>
      </c>
      <c r="C120" s="8" t="inlineStr">
        <is>
          <t>G8 第一版完成</t>
        </is>
      </c>
      <c r="D120" s="8" t="inlineStr">
        <is>
          <t>UI与交互</t>
        </is>
      </c>
      <c r="E120" s="8" t="inlineStr">
        <is>
          <t>引导UI</t>
        </is>
      </c>
      <c r="F120" s="8" t="inlineStr">
        <is>
          <t>实现教学弹窗、控件高亮与帮助入口</t>
        </is>
      </c>
      <c r="G120" s="8" t="inlineStr">
        <is>
          <t>教学弹窗与局部高亮；首次放置水泵补通用建造简短说明，不新增独立任务或开局强制建造教学。</t>
        </is>
      </c>
      <c r="H120" s="21" t="inlineStr">
        <is>
          <t>P0</t>
        </is>
      </c>
      <c r="I120" s="8" t="inlineStr">
        <is>
          <t>P8-001,P0-008</t>
        </is>
      </c>
      <c r="J120" s="21" t="inlineStr">
        <is>
          <t>A8</t>
        </is>
      </c>
      <c r="K120" s="22" t="n">
        <v>10</v>
      </c>
      <c r="L120" s="22" t="n">
        <v>16</v>
      </c>
      <c r="M120" s="21" t="inlineStr">
        <is>
          <t>中</t>
        </is>
      </c>
      <c r="N120" s="21" t="inlineStr">
        <is>
          <t>程序预算</t>
        </is>
      </c>
      <c r="O120" s="8" t="inlineStr">
        <is>
          <t>玩家可随时重看当前说明，完成后基础引导入口正确消失。</t>
        </is>
      </c>
      <c r="P120" s="21" t="inlineStr">
        <is>
          <t>未开始</t>
        </is>
      </c>
      <c r="Q120" s="33" t="n"/>
      <c r="R120" s="8" t="inlineStr">
        <is>
          <t>2026-09-10设计同步，未据此变更实现状态。</t>
        </is>
      </c>
    </row>
    <row r="121">
      <c r="A121" s="24" t="inlineStr">
        <is>
          <t>P8-003</t>
        </is>
      </c>
      <c r="B121" s="24" t="inlineStr">
        <is>
          <t>阶段8 引导与版本终点</t>
        </is>
      </c>
      <c r="C121" s="24" t="inlineStr">
        <is>
          <t>G8 第一版完成</t>
        </is>
      </c>
      <c r="D121" s="24" t="inlineStr">
        <is>
          <t>配置与内容</t>
        </is>
      </c>
      <c r="E121" s="24" t="inlineStr">
        <is>
          <t>引导内容</t>
        </is>
      </c>
      <c r="F121" s="24" t="inlineStr">
        <is>
          <t>录入基础引导文案与高亮定位</t>
        </is>
      </c>
      <c r="G121" s="24" t="inlineStr">
        <is>
          <t>把六段正式文案、目标和界面定位录入配置。</t>
        </is>
      </c>
      <c r="H121" s="25" t="inlineStr">
        <is>
          <t>P0</t>
        </is>
      </c>
      <c r="I121" s="24" t="inlineStr">
        <is>
          <t>P8-001,P8-002</t>
        </is>
      </c>
      <c r="J121" s="25" t="inlineStr">
        <is>
          <t>A8</t>
        </is>
      </c>
      <c r="K121" s="26" t="n">
        <v>6</v>
      </c>
      <c r="L121" s="26" t="n">
        <v>10</v>
      </c>
      <c r="M121" s="25" t="inlineStr">
        <is>
          <t>高</t>
        </is>
      </c>
      <c r="N121" s="25" t="inlineStr">
        <is>
          <t>程序预算</t>
        </is>
      </c>
      <c r="O121" s="24" t="inlineStr">
        <is>
          <t>文案与实际控件和流程一致，不出现未实现功能。</t>
        </is>
      </c>
      <c r="P121" s="25" t="inlineStr">
        <is>
          <t>未开始</t>
        </is>
      </c>
      <c r="Q121" s="34" t="n"/>
      <c r="R121" s="24" t="n"/>
    </row>
    <row r="122" ht="24" customHeight="1" s="1">
      <c r="A122" s="8" t="inlineStr">
        <is>
          <t>P8-004</t>
        </is>
      </c>
      <c r="B122" s="8" t="inlineStr">
        <is>
          <t>阶段8 引导与版本终点</t>
        </is>
      </c>
      <c r="C122" s="8" t="inlineStr">
        <is>
          <t>G8 第一版完成</t>
        </is>
      </c>
      <c r="D122" s="8" t="inlineStr">
        <is>
          <t>客户端程序</t>
        </is>
      </c>
      <c r="E122" s="8" t="inlineStr">
        <is>
          <t>探索准备</t>
        </is>
      </c>
      <c r="F122" s="8" t="inlineStr">
        <is>
          <t>实现探索组件制造与能力标签</t>
        </is>
      </c>
      <c r="G122" s="8" t="inlineStr">
        <is>
          <t>实现扫描器、通信收发器配方、安装和探索能力检查数据。</t>
        </is>
      </c>
      <c r="H122" s="21" t="inlineStr">
        <is>
          <t>P0</t>
        </is>
      </c>
      <c r="I122" s="8" t="inlineStr">
        <is>
          <t>P6-003,P6-004,P5-004</t>
        </is>
      </c>
      <c r="J122" s="21" t="inlineStr">
        <is>
          <t>A8</t>
        </is>
      </c>
      <c r="K122" s="22" t="n">
        <v>8</v>
      </c>
      <c r="L122" s="22" t="n">
        <v>14</v>
      </c>
      <c r="M122" s="21" t="inlineStr">
        <is>
          <t>中</t>
        </is>
      </c>
      <c r="N122" s="21" t="inlineStr">
        <is>
          <t>程序预算</t>
        </is>
      </c>
      <c r="O122" s="8" t="inlineStr">
        <is>
          <t>探索机器能力由组件标签检查，不绑定固定载体实例。</t>
        </is>
      </c>
      <c r="P122" s="21" t="inlineStr">
        <is>
          <t>未开始</t>
        </is>
      </c>
      <c r="Q122" s="33" t="n"/>
      <c r="R122" s="8" t="n"/>
    </row>
    <row r="123" ht="24" customHeight="1" s="1">
      <c r="A123" s="24" t="inlineStr">
        <is>
          <t>P8-005</t>
        </is>
      </c>
      <c r="B123" s="24" t="inlineStr">
        <is>
          <t>阶段8 引导与版本终点</t>
        </is>
      </c>
      <c r="C123" s="24" t="inlineStr">
        <is>
          <t>G8 第一版完成</t>
        </is>
      </c>
      <c r="D123" s="24" t="inlineStr">
        <is>
          <t>客户端程序</t>
        </is>
      </c>
      <c r="E123" s="24" t="inlineStr">
        <is>
          <t>版本终点</t>
        </is>
      </c>
      <c r="F123" s="24" t="inlineStr">
        <is>
          <t>实现探索准备完成与入口解锁</t>
        </is>
      </c>
      <c r="G123" s="24" t="inlineStr">
        <is>
          <t>检查中枢3级、任务完成、机器部署激活和能力通过。</t>
        </is>
      </c>
      <c r="H123" s="25" t="inlineStr">
        <is>
          <t>P0</t>
        </is>
      </c>
      <c r="I123" s="24" t="inlineStr">
        <is>
          <t>P8-004,P6-007,P6-013</t>
        </is>
      </c>
      <c r="J123" s="25" t="inlineStr">
        <is>
          <t>A8</t>
        </is>
      </c>
      <c r="K123" s="26" t="n">
        <v>8</v>
      </c>
      <c r="L123" s="26" t="n">
        <v>14</v>
      </c>
      <c r="M123" s="25" t="inlineStr">
        <is>
          <t>中</t>
        </is>
      </c>
      <c r="N123" s="25" t="inlineStr">
        <is>
          <t>程序预算</t>
        </is>
      </c>
      <c r="O123" s="24" t="inlineStr">
        <is>
          <t>全部条件满足后区域容量升至2并显示版本终点，不实际派出探索。</t>
        </is>
      </c>
      <c r="P123" s="25" t="inlineStr">
        <is>
          <t>未开始</t>
        </is>
      </c>
      <c r="Q123" s="34" t="n"/>
      <c r="R123" s="24" t="n"/>
    </row>
    <row r="124" ht="24" customHeight="1" s="1">
      <c r="A124" s="8" t="inlineStr">
        <is>
          <t>P8-006</t>
        </is>
      </c>
      <c r="B124" s="8" t="inlineStr">
        <is>
          <t>阶段8 引导与版本终点</t>
        </is>
      </c>
      <c r="C124" s="8" t="inlineStr">
        <is>
          <t>G8 第一版完成</t>
        </is>
      </c>
      <c r="D124" s="8" t="inlineStr">
        <is>
          <t>UI与交互</t>
        </is>
      </c>
      <c r="E124" s="8" t="inlineStr">
        <is>
          <t>探索准备UI</t>
        </is>
      </c>
      <c r="F124" s="8" t="inlineStr">
        <is>
          <t>实现能力检查与版本结束反馈</t>
        </is>
      </c>
      <c r="G124" s="8" t="inlineStr">
        <is>
          <t>显示缺失能力、机器定位、解锁结果和第一版结束说明。</t>
        </is>
      </c>
      <c r="H124" s="21" t="inlineStr">
        <is>
          <t>P0</t>
        </is>
      </c>
      <c r="I124" s="8" t="inlineStr">
        <is>
          <t>P8-005,P2-010</t>
        </is>
      </c>
      <c r="J124" s="21" t="inlineStr">
        <is>
          <t>A8</t>
        </is>
      </c>
      <c r="K124" s="22" t="n">
        <v>8</v>
      </c>
      <c r="L124" s="22" t="n">
        <v>14</v>
      </c>
      <c r="M124" s="21" t="inlineStr">
        <is>
          <t>中</t>
        </is>
      </c>
      <c r="N124" s="21" t="inlineStr">
        <is>
          <t>程序预算</t>
        </is>
      </c>
      <c r="O124" s="8" t="inlineStr">
        <is>
          <t>玩家能理解探索机器为何合格／不合格，完成后没有可误入的探索流程。</t>
        </is>
      </c>
      <c r="P124" s="21" t="inlineStr">
        <is>
          <t>未开始</t>
        </is>
      </c>
      <c r="Q124" s="33" t="n"/>
      <c r="R124" s="8" t="n"/>
    </row>
    <row r="125" ht="24" customHeight="1" s="1">
      <c r="A125" s="24" t="inlineStr">
        <is>
          <t>P8-007</t>
        </is>
      </c>
      <c r="B125" s="24" t="inlineStr">
        <is>
          <t>阶段8 引导与版本终点</t>
        </is>
      </c>
      <c r="C125" s="24" t="inlineStr">
        <is>
          <t>G8 第一版完成</t>
        </is>
      </c>
      <c r="D125" s="24" t="inlineStr">
        <is>
          <t>UI与交互</t>
        </is>
      </c>
      <c r="E125" s="24" t="inlineStr">
        <is>
          <t>设置</t>
        </is>
      </c>
      <c r="F125" s="24" t="inlineStr">
        <is>
          <t>实现第一版设置页</t>
        </is>
      </c>
      <c r="G125" s="24" t="inlineStr">
        <is>
          <t>实现声音、镜头、只读按键、显示模式、帧率和基础画质。</t>
        </is>
      </c>
      <c r="H125" s="25" t="inlineStr">
        <is>
          <t>P1</t>
        </is>
      </c>
      <c r="I125" s="24" t="inlineStr">
        <is>
          <t>P0-008,P0-009</t>
        </is>
      </c>
      <c r="J125" s="25" t="inlineStr">
        <is>
          <t>A8</t>
        </is>
      </c>
      <c r="K125" s="26" t="n">
        <v>12</v>
      </c>
      <c r="L125" s="26" t="n">
        <v>18</v>
      </c>
      <c r="M125" s="25" t="inlineStr">
        <is>
          <t>中</t>
        </is>
      </c>
      <c r="N125" s="25" t="inlineStr">
        <is>
          <t>程序预算</t>
        </is>
      </c>
      <c r="O125" s="24" t="inlineStr">
        <is>
          <t>设置按本机保存且世界不暂停，所有按键显示来自InputModule。</t>
        </is>
      </c>
      <c r="P125" s="25" t="inlineStr">
        <is>
          <t>进行中</t>
        </is>
      </c>
      <c r="Q125" s="34" t="n"/>
      <c r="R125" s="24" t="inlineStr">
        <is>
          <t>程序部分已交付：声音五路+主音量乘数/镜头三参数+反转/只读按键(来源InputModule)/显示模式/帧率/基础画质全接线，ISettingsStore(GF.Setting)落盘、世界不暂停；音频资源与动态音频待P8-008/P8-009</t>
        </is>
      </c>
    </row>
    <row r="126" ht="24" customHeight="1" s="1">
      <c r="A126" s="8" t="inlineStr">
        <is>
          <t>P8-008</t>
        </is>
      </c>
      <c r="B126" s="8" t="inlineStr">
        <is>
          <t>阶段8 引导与版本终点</t>
        </is>
      </c>
      <c r="C126" s="8" t="inlineStr">
        <is>
          <t>G8 第一版完成</t>
        </is>
      </c>
      <c r="D126" s="8" t="inlineStr">
        <is>
          <t>美术与声音资源</t>
        </is>
      </c>
      <c r="E126" s="8" t="inlineStr">
        <is>
          <t>声音</t>
        </is>
      </c>
      <c r="F126" s="8" t="inlineStr">
        <is>
          <t>制作第一版基础声音包</t>
        </is>
      </c>
      <c r="G126" s="8" t="inlineStr">
        <is>
          <t>提供环境、机器循环、作业、UI、警报和完成反馈的最低资源。</t>
        </is>
      </c>
      <c r="H126" s="21" t="inlineStr">
        <is>
          <t>P1</t>
        </is>
      </c>
      <c r="I126" s="8" t="inlineStr">
        <is>
          <t>P4-016,P6-011</t>
        </is>
      </c>
      <c r="J126" s="21" t="inlineStr">
        <is>
          <t>A8</t>
        </is>
      </c>
      <c r="K126" s="22" t="n">
        <v>12</v>
      </c>
      <c r="L126" s="22" t="n">
        <v>18</v>
      </c>
      <c r="M126" s="21" t="inlineStr">
        <is>
          <t>低</t>
        </is>
      </c>
      <c r="N126" s="21" t="inlineStr">
        <is>
          <t>美术资源预算</t>
        </is>
      </c>
      <c r="O126" s="8" t="inlineStr">
        <is>
          <t>核心状态均有对应声音且同类循环声不会无上限叠加。</t>
        </is>
      </c>
      <c r="P126" s="21" t="inlineStr">
        <is>
          <t>未开始</t>
        </is>
      </c>
      <c r="Q126" s="33" t="n"/>
      <c r="R126" s="8" t="n"/>
    </row>
    <row r="127" ht="24" customHeight="1" s="1">
      <c r="A127" s="24" t="inlineStr">
        <is>
          <t>P8-009</t>
        </is>
      </c>
      <c r="B127" s="24" t="inlineStr">
        <is>
          <t>阶段8 引导与版本终点</t>
        </is>
      </c>
      <c r="C127" s="24" t="inlineStr">
        <is>
          <t>G8 第一版完成</t>
        </is>
      </c>
      <c r="D127" s="24" t="inlineStr">
        <is>
          <t>客户端程序</t>
        </is>
      </c>
      <c r="E127" s="24" t="inlineStr">
        <is>
          <t>音频</t>
        </is>
      </c>
      <c r="F127" s="24" t="inlineStr">
        <is>
          <t>接入分层音频与动态状态</t>
        </is>
      </c>
      <c r="G127" s="24" t="inlineStr">
        <is>
          <t>接入五类音量、声源限额、警报合并和三层音乐状态。</t>
        </is>
      </c>
      <c r="H127" s="25" t="inlineStr">
        <is>
          <t>P1</t>
        </is>
      </c>
      <c r="I127" s="24" t="inlineStr">
        <is>
          <t>P8-008,P6-011,P8-007</t>
        </is>
      </c>
      <c r="J127" s="25" t="inlineStr">
        <is>
          <t>A8</t>
        </is>
      </c>
      <c r="K127" s="26" t="n">
        <v>10</v>
      </c>
      <c r="L127" s="26" t="n">
        <v>16</v>
      </c>
      <c r="M127" s="25" t="inlineStr">
        <is>
          <t>中</t>
        </is>
      </c>
      <c r="N127" s="25" t="inlineStr">
        <is>
          <t>程序预算</t>
        </is>
      </c>
      <c r="O127" s="24" t="inlineStr">
        <is>
          <t>声音与机器真实状态同步，设置修改立即生效。</t>
        </is>
      </c>
      <c r="P127" s="25" t="inlineStr">
        <is>
          <t>未开始</t>
        </is>
      </c>
      <c r="Q127" s="34" t="n"/>
      <c r="R127" s="24" t="n"/>
    </row>
    <row r="128" ht="36.75" customHeight="1" s="1">
      <c r="A128" s="8" t="inlineStr">
        <is>
          <t>P8-010</t>
        </is>
      </c>
      <c r="B128" s="8" t="inlineStr">
        <is>
          <t>阶段8 引导与版本终点</t>
        </is>
      </c>
      <c r="C128" s="8" t="inlineStr">
        <is>
          <t>G8 第一版完成</t>
        </is>
      </c>
      <c r="D128" s="8" t="inlineStr">
        <is>
          <t>技术美术与特效</t>
        </is>
      </c>
      <c r="E128" s="8" t="inlineStr">
        <is>
          <t>表现收口</t>
        </is>
      </c>
      <c r="F128" s="8" t="inlineStr">
        <is>
          <t>审计并补齐状态灯、警报和完成节点表现</t>
        </is>
      </c>
      <c r="G128" s="8" t="inlineStr">
        <is>
          <t>基于已接入的正式动画、VFX与UI视觉，检查绿黄红灰白语义、容量、制造、升级、解锁和错误反馈缺口。</t>
        </is>
      </c>
      <c r="H128" s="21" t="inlineStr">
        <is>
          <t>P1</t>
        </is>
      </c>
      <c r="I128" s="8" t="inlineStr">
        <is>
          <t>ART-027,ART-034,P8-005</t>
        </is>
      </c>
      <c r="J128" s="21" t="inlineStr">
        <is>
          <t>A8</t>
        </is>
      </c>
      <c r="K128" s="22" t="n">
        <v>12</v>
      </c>
      <c r="L128" s="22" t="n">
        <v>18</v>
      </c>
      <c r="M128" s="21" t="inlineStr">
        <is>
          <t>中</t>
        </is>
      </c>
      <c r="N128" s="21" t="inlineStr">
        <is>
          <t>美术资源预算</t>
        </is>
      </c>
      <c r="O128" s="8" t="inlineStr">
        <is>
          <t>核心流程不存在缺失或重复反馈，关键状态至少通过两种反馈表达且颜色不是唯一载体。</t>
        </is>
      </c>
      <c r="P128" s="21" t="inlineStr">
        <is>
          <t>未开始</t>
        </is>
      </c>
      <c r="Q128" s="33" t="n"/>
      <c r="R128" s="8" t="n"/>
    </row>
    <row r="129" ht="24.75" customHeight="1" s="1">
      <c r="A129" s="24" t="inlineStr">
        <is>
          <t>P8-011</t>
        </is>
      </c>
      <c r="B129" s="24" t="inlineStr">
        <is>
          <t>阶段8 引导与版本终点</t>
        </is>
      </c>
      <c r="C129" s="24" t="inlineStr">
        <is>
          <t>G8 第一版完成</t>
        </is>
      </c>
      <c r="D129" s="24" t="inlineStr">
        <is>
          <t>配置与内容</t>
        </is>
      </c>
      <c r="E129" s="24" t="inlineStr">
        <is>
          <t>规则与警报文案</t>
        </is>
      </c>
      <c r="F129" s="24" t="inlineStr">
        <is>
          <t>录入规则描述、警报和对象短描述</t>
        </is>
      </c>
      <c r="G129" s="24" t="inlineStr">
        <is>
          <t>录入14条规则、核心警报模板、对象说明和离线文本。</t>
        </is>
      </c>
      <c r="H129" s="25" t="inlineStr">
        <is>
          <t>P0</t>
        </is>
      </c>
      <c r="I129" s="24" t="inlineStr">
        <is>
          <t>P6-010,P6-011,P7-010</t>
        </is>
      </c>
      <c r="J129" s="25" t="inlineStr">
        <is>
          <t>A8</t>
        </is>
      </c>
      <c r="K129" s="26" t="n">
        <v>8</v>
      </c>
      <c r="L129" s="26" t="n">
        <v>14</v>
      </c>
      <c r="M129" s="25" t="inlineStr">
        <is>
          <t>高</t>
        </is>
      </c>
      <c r="N129" s="25" t="inlineStr">
        <is>
          <t>程序预算</t>
        </is>
      </c>
      <c r="O129" s="24" t="inlineStr">
        <is>
          <t>所有文案ID可解析且界面不存在开发占位文本。</t>
        </is>
      </c>
      <c r="P129" s="25" t="inlineStr">
        <is>
          <t>未开始</t>
        </is>
      </c>
      <c r="Q129" s="34" t="n"/>
      <c r="R129" s="24" t="n"/>
    </row>
    <row r="130" ht="24" customHeight="1" s="1">
      <c r="A130" s="8" t="inlineStr">
        <is>
          <t>P8-012</t>
        </is>
      </c>
      <c r="B130" s="8" t="inlineStr">
        <is>
          <t>阶段8 引导与版本终点</t>
        </is>
      </c>
      <c r="C130" s="8" t="inlineStr">
        <is>
          <t>G8 第一版完成</t>
        </is>
      </c>
      <c r="D130" s="8" t="inlineStr">
        <is>
          <t>客户端程序</t>
        </is>
      </c>
      <c r="E130" s="8" t="inlineStr">
        <is>
          <t>性能</t>
        </is>
      </c>
      <c r="F130" s="8" t="inlineStr">
        <is>
          <t>处理运行时分配与长时运行热点</t>
        </is>
      </c>
      <c r="G130" s="8" t="inlineStr">
        <is>
          <t>优化高频采样、算法求值、日志、导航和离线事件分配。</t>
        </is>
      </c>
      <c r="H130" s="21" t="inlineStr">
        <is>
          <t>P0</t>
        </is>
      </c>
      <c r="I130" s="8" t="inlineStr">
        <is>
          <t>G7-001,P8-001</t>
        </is>
      </c>
      <c r="J130" s="21" t="inlineStr">
        <is>
          <t>A8</t>
        </is>
      </c>
      <c r="K130" s="22" t="n">
        <v>12</v>
      </c>
      <c r="L130" s="22" t="n">
        <v>18</v>
      </c>
      <c r="M130" s="21" t="inlineStr">
        <is>
          <t>低</t>
        </is>
      </c>
      <c r="N130" s="21" t="inlineStr">
        <is>
          <t>程序预算</t>
        </is>
      </c>
      <c r="O130" s="8" t="inlineStr">
        <is>
          <t>核心循环不在Update产生可避免GC，长时运行无持续增长队列。</t>
        </is>
      </c>
      <c r="P130" s="21" t="inlineStr">
        <is>
          <t>未开始</t>
        </is>
      </c>
      <c r="Q130" s="33" t="n"/>
      <c r="R130" s="8" t="n"/>
    </row>
    <row r="131" ht="72" customHeight="1" s="1">
      <c r="A131" s="24" t="inlineStr">
        <is>
          <t>P8-013</t>
        </is>
      </c>
      <c r="B131" s="24" t="inlineStr">
        <is>
          <t>阶段8 引导与版本终点</t>
        </is>
      </c>
      <c r="C131" s="24" t="inlineStr">
        <is>
          <t>G8 第一版完成</t>
        </is>
      </c>
      <c r="D131" s="24" t="inlineStr">
        <is>
          <t>集成与阶段验收</t>
        </is>
      </c>
      <c r="E131" s="24" t="inlineStr">
        <is>
          <t>流程整合</t>
        </is>
      </c>
      <c r="F131" s="24" t="inlineStr">
        <is>
          <t>串联新存档至探索解锁完整流程</t>
        </is>
      </c>
      <c r="G131" s="24" t="inlineStr">
        <is>
          <t>修正跨阶段阻塞、错误解锁、资源断点和界面跳转。</t>
        </is>
      </c>
      <c r="H131" s="25" t="inlineStr">
        <is>
          <t>P0</t>
        </is>
      </c>
      <c r="I131" s="24" t="inlineStr">
        <is>
          <t>P8-003,P8-006,P8-011,P8-012</t>
        </is>
      </c>
      <c r="J131" s="25" t="inlineStr">
        <is>
          <t>A8</t>
        </is>
      </c>
      <c r="K131" s="26" t="n">
        <v>14</v>
      </c>
      <c r="L131" s="26" t="n">
        <v>18</v>
      </c>
      <c r="M131" s="25" t="inlineStr">
        <is>
          <t>低</t>
        </is>
      </c>
      <c r="N131" s="25" t="inlineStr">
        <is>
          <t>程序预算</t>
        </is>
      </c>
      <c r="O131" s="24" t="inlineStr">
        <is>
          <t>持续水源可在中枢2级前完成；建造／图纸无循环依赖，按新采矿及水泵成本复测经济节奏，不套旧固定矿石周期。</t>
        </is>
      </c>
      <c r="P131" s="25" t="inlineStr">
        <is>
          <t>未开始</t>
        </is>
      </c>
      <c r="Q131" s="34" t="n"/>
      <c r="R131" s="24" t="inlineStr">
        <is>
          <t>2026-09-10设计同步，未据此变更实现状态。</t>
        </is>
      </c>
    </row>
    <row r="132" ht="24" customHeight="1" s="1">
      <c r="A132" s="8" t="inlineStr">
        <is>
          <t>P8-014</t>
        </is>
      </c>
      <c r="B132" s="8" t="inlineStr">
        <is>
          <t>阶段8 引导与版本终点</t>
        </is>
      </c>
      <c r="C132" s="8" t="inlineStr">
        <is>
          <t>G8 第一版完成</t>
        </is>
      </c>
      <c r="D132" s="8" t="inlineStr">
        <is>
          <t>集成与阶段验收</t>
        </is>
      </c>
      <c r="E132" s="8" t="inlineStr">
        <is>
          <t>范围审计</t>
        </is>
      </c>
      <c r="F132" s="8" t="inlineStr">
        <is>
          <t>移除或隐藏第一版范围外入口</t>
        </is>
      </c>
      <c r="G132" s="8" t="inlineStr">
        <is>
          <t>确认战斗、实际探索、通信调度、维修、跨区和高级策略不进入流程。</t>
        </is>
      </c>
      <c r="H132" s="21" t="inlineStr">
        <is>
          <t>P0</t>
        </is>
      </c>
      <c r="I132" s="8" t="inlineStr">
        <is>
          <t>P8-013</t>
        </is>
      </c>
      <c r="J132" s="21" t="inlineStr">
        <is>
          <t>A8</t>
        </is>
      </c>
      <c r="K132" s="22" t="n">
        <v>6</v>
      </c>
      <c r="L132" s="22" t="n">
        <v>10</v>
      </c>
      <c r="M132" s="21" t="inlineStr">
        <is>
          <t>高</t>
        </is>
      </c>
      <c r="N132" s="21" t="inlineStr">
        <is>
          <t>程序预算</t>
        </is>
      </c>
      <c r="O132" s="8" t="inlineStr">
        <is>
          <t>玩家正常流程中看不到不可用占位入口，数据也不会触发未实现系统。</t>
        </is>
      </c>
      <c r="P132" s="21" t="inlineStr">
        <is>
          <t>未开始</t>
        </is>
      </c>
      <c r="Q132" s="33" t="n"/>
      <c r="R132" s="8" t="n"/>
    </row>
    <row r="133" ht="24" customHeight="1" s="1">
      <c r="A133" s="24" t="inlineStr">
        <is>
          <t>ART-001</t>
        </is>
      </c>
      <c r="B133" s="24" t="inlineStr">
        <is>
          <t>并行美术0 视觉预研</t>
        </is>
      </c>
      <c r="C133" s="24" t="inlineStr">
        <is>
          <t>ART-G0 视觉基线</t>
        </is>
      </c>
      <c r="D133" s="24" t="inlineStr">
        <is>
          <t>美术方向与规范</t>
        </is>
      </c>
      <c r="E133" s="24" t="inlineStr">
        <is>
          <t>独立项目</t>
        </is>
      </c>
      <c r="F133" s="24" t="inlineStr">
        <is>
          <t>建立独立美术项目与交付合同</t>
        </is>
      </c>
      <c r="G133" s="24" t="inlineStr">
        <is>
          <t>建立可独立制作的Unity美术项目，约定坐标、比例、命名、锚点、材质、贴图、动画、VFX与导出包结构。</t>
        </is>
      </c>
      <c r="H133" s="25" t="inlineStr">
        <is>
          <t>P0</t>
        </is>
      </c>
      <c r="I133" s="24" t="inlineStr">
        <is>
          <t>P0-001</t>
        </is>
      </c>
      <c r="J133" s="25" t="inlineStr">
        <is>
          <t>ART-RND</t>
        </is>
      </c>
      <c r="K133" s="26" t="n">
        <v>6</v>
      </c>
      <c r="L133" s="26" t="n">
        <v>10</v>
      </c>
      <c r="M133" s="25" t="inlineStr">
        <is>
          <t>高</t>
        </is>
      </c>
      <c r="N133" s="25" t="inlineStr">
        <is>
          <t>美术资源预算</t>
        </is>
      </c>
      <c r="O133" s="24" t="inlineStr">
        <is>
          <t>美术项目可单独打开、制作和评审；样例包导入主工程后比例、材质与锚点不变。</t>
        </is>
      </c>
      <c r="P133" s="25" t="inlineStr">
        <is>
          <t>已完成</t>
        </is>
      </c>
      <c r="Q133" s="34" t="n">
        <v>2</v>
      </c>
      <c r="R133" s="28" t="inlineStr">
        <is>
          <t>除最终导入验证外，不依赖主工程功能进度。2026-08-21验收完成</t>
        </is>
      </c>
    </row>
    <row r="134" ht="24" customHeight="1" s="1">
      <c r="A134" s="8" t="inlineStr">
        <is>
          <t>ART-002</t>
        </is>
      </c>
      <c r="B134" s="8" t="inlineStr">
        <is>
          <t>并行美术0 视觉预研</t>
        </is>
      </c>
      <c r="C134" s="8" t="inlineStr">
        <is>
          <t>ART-G0 视觉基线</t>
        </is>
      </c>
      <c r="D134" s="8" t="inlineStr">
        <is>
          <t>美术方向与规范</t>
        </is>
      </c>
      <c r="E134" s="8" t="inlineStr">
        <is>
          <t>风格探索</t>
        </is>
      </c>
      <c r="F134" s="8" t="inlineStr">
        <is>
          <t>建立参考池并探索视觉方向</t>
        </is>
      </c>
      <c r="G134" s="8" t="inlineStr">
        <is>
          <t>围绕科幻拓荒、工程感、勒米拉环境和机器可读性建立参考池，制作不少于三组视觉方向探索。</t>
        </is>
      </c>
      <c r="H134" s="21" t="inlineStr">
        <is>
          <t>P0</t>
        </is>
      </c>
      <c r="I134" s="8" t="inlineStr">
        <is>
          <t>ART-001</t>
        </is>
      </c>
      <c r="J134" s="21" t="inlineStr">
        <is>
          <t>ART-RND</t>
        </is>
      </c>
      <c r="K134" s="22" t="n">
        <v>8</v>
      </c>
      <c r="L134" s="22" t="n">
        <v>12</v>
      </c>
      <c r="M134" s="21" t="inlineStr">
        <is>
          <t>中</t>
        </is>
      </c>
      <c r="N134" s="21" t="inlineStr">
        <is>
          <t>美术资源预算</t>
        </is>
      </c>
      <c r="O134" s="8" t="inlineStr">
        <is>
          <t>三组方向均覆盖环境、机器、建筑、色彩和材质示例，可按统一维度比较。</t>
        </is>
      </c>
      <c r="P134" s="21" t="inlineStr">
        <is>
          <t>已完成</t>
        </is>
      </c>
      <c r="Q134" s="33" t="n">
        <v>2</v>
      </c>
      <c r="R134" s="29" t="inlineStr">
        <is>
          <t>2026-08-21验收完成</t>
        </is>
      </c>
    </row>
    <row r="135" ht="24" customHeight="1" s="1">
      <c r="A135" s="8" t="inlineStr">
        <is>
          <t>ART-003</t>
        </is>
      </c>
      <c r="B135" s="8" t="inlineStr">
        <is>
          <t>并行美术0 视觉预研</t>
        </is>
      </c>
      <c r="C135" s="8" t="inlineStr">
        <is>
          <t>ART-G0 视觉基线</t>
        </is>
      </c>
      <c r="D135" s="8" t="inlineStr">
        <is>
          <t>场景与环境美术</t>
        </is>
      </c>
      <c r="E135" s="8" t="inlineStr">
        <is>
          <t>场景方案</t>
        </is>
      </c>
      <c r="F135" s="8" t="inlineStr">
        <is>
          <t>探索游戏场景最终实现形式</t>
        </is>
      </c>
      <c r="G135" s="8" t="inlineStr">
        <is>
          <t>比较地形系统、模块化场景、手工布景及混合方案，确认地表、远景、植被、资源点与基地的制作方式。</t>
        </is>
      </c>
      <c r="H135" s="21" t="inlineStr">
        <is>
          <t>P0</t>
        </is>
      </c>
      <c r="I135" s="8" t="inlineStr">
        <is>
          <t>ART-001</t>
        </is>
      </c>
      <c r="J135" s="21" t="inlineStr">
        <is>
          <t>ART-RND</t>
        </is>
      </c>
      <c r="K135" s="22" t="n">
        <v>10</v>
      </c>
      <c r="L135" s="22" t="n">
        <v>16</v>
      </c>
      <c r="M135" s="21" t="inlineStr">
        <is>
          <t>中</t>
        </is>
      </c>
      <c r="N135" s="21" t="inlineStr">
        <is>
          <t>美术资源预算</t>
        </is>
      </c>
      <c r="O135" s="8" t="inlineStr">
        <is>
          <t>形成场景实现方案、资产清单、性能约束和一块可评审的场景样片。</t>
        </is>
      </c>
      <c r="P135" s="21" t="inlineStr">
        <is>
          <t>已完成</t>
        </is>
      </c>
      <c r="Q135" s="33" t="n">
        <v>2</v>
      </c>
      <c r="R135" s="29" t="inlineStr">
        <is>
          <t>2026-08-21验收完成</t>
        </is>
      </c>
    </row>
    <row r="136" ht="24" customHeight="1" s="1">
      <c r="A136" s="8" t="inlineStr">
        <is>
          <t>ART-004</t>
        </is>
      </c>
      <c r="B136" s="8" t="inlineStr">
        <is>
          <t>并行美术0 视觉预研</t>
        </is>
      </c>
      <c r="C136" s="8" t="inlineStr">
        <is>
          <t>ART-G0 视觉基线</t>
        </is>
      </c>
      <c r="D136" s="8" t="inlineStr">
        <is>
          <t>3D资产与材质</t>
        </is>
      </c>
      <c r="E136" s="8" t="inlineStr">
        <is>
          <t>资源管线</t>
        </is>
      </c>
      <c r="F136" s="8" t="inlineStr">
        <is>
          <t>探索模型、材质与模块化制作路线</t>
        </is>
      </c>
      <c r="G136" s="8" t="inlineStr">
        <is>
          <t>比较低多边形、风格化PBR、手绘与混合路线，确定贴图规格、材质复用、LOD和模块化标准。</t>
        </is>
      </c>
      <c r="H136" s="21" t="inlineStr">
        <is>
          <t>P0</t>
        </is>
      </c>
      <c r="I136" s="8" t="inlineStr">
        <is>
          <t>ART-001</t>
        </is>
      </c>
      <c r="J136" s="21" t="inlineStr">
        <is>
          <t>ART-RND</t>
        </is>
      </c>
      <c r="K136" s="22" t="n">
        <v>8</v>
      </c>
      <c r="L136" s="22" t="n">
        <v>14</v>
      </c>
      <c r="M136" s="21" t="inlineStr">
        <is>
          <t>中</t>
        </is>
      </c>
      <c r="N136" s="21" t="inlineStr">
        <is>
          <t>美术资源预算</t>
        </is>
      </c>
      <c r="O136" s="8" t="inlineStr">
        <is>
          <t>用同一对象完成候选路线对照，最终路线具备明确预算和可重复制作流程。</t>
        </is>
      </c>
      <c r="P136" s="21" t="inlineStr">
        <is>
          <t>已完成</t>
        </is>
      </c>
      <c r="Q136" s="33" t="n"/>
      <c r="R136" s="29" t="inlineStr">
        <is>
          <t>B03白模+Blender路线/B04材质标准/B08高模材质已交付，模型材质模块化路线探索完成</t>
        </is>
      </c>
    </row>
    <row r="137" ht="24" customHeight="1" s="1">
      <c r="A137" s="8" t="inlineStr">
        <is>
          <t>ART-005</t>
        </is>
      </c>
      <c r="B137" s="8" t="inlineStr">
        <is>
          <t>并行美术0 视觉预研</t>
        </is>
      </c>
      <c r="C137" s="8" t="inlineStr">
        <is>
          <t>ART-G0 视觉基线</t>
        </is>
      </c>
      <c r="D137" s="8" t="inlineStr">
        <is>
          <t>动画与交互动效</t>
        </is>
      </c>
      <c r="E137" s="8" t="inlineStr">
        <is>
          <t>动作方案</t>
        </is>
      </c>
      <c r="F137" s="8" t="inlineStr">
        <is>
          <t>探索对象动作与交互动效实现方式</t>
        </is>
      </c>
      <c r="G137" s="20" t="inlineStr">
        <is>
          <t>以刚性关节程序动画为机器主体动作路线，形成运动原语、参数、循环、中断、安全姿态和跨项目制作规则；关键帧动画不作为第一版机器主体动作方案。</t>
        </is>
      </c>
      <c r="H137" s="21" t="inlineStr">
        <is>
          <t>P0</t>
        </is>
      </c>
      <c r="I137" s="8" t="inlineStr">
        <is>
          <t>ART-001</t>
        </is>
      </c>
      <c r="J137" s="21" t="inlineStr">
        <is>
          <t>ART-RND</t>
        </is>
      </c>
      <c r="K137" s="22" t="n">
        <v>10</v>
      </c>
      <c r="L137" s="22" t="n">
        <v>16</v>
      </c>
      <c r="M137" s="21" t="inlineStr">
        <is>
          <t>中</t>
        </is>
      </c>
      <c r="N137" s="21" t="inlineStr">
        <is>
          <t>美术资源预算</t>
        </is>
      </c>
      <c r="O137" s="8" t="inlineStr">
        <is>
          <t>形成动作实现矩阵，每类核心动作都明确实现方式、输入参数、循环与中断规则。</t>
        </is>
      </c>
      <c r="P137" s="21" t="inlineStr">
        <is>
          <t>已完成</t>
        </is>
      </c>
      <c r="Q137" s="33" t="n"/>
      <c r="R137" s="29" t="inlineStr">
        <is>
          <t>B06程序化动作管线/B08动作图已交付，动作交互实现方式探索完成</t>
        </is>
      </c>
    </row>
    <row r="138" ht="24" customHeight="1" s="1">
      <c r="A138" s="8" t="inlineStr">
        <is>
          <t>ART-006</t>
        </is>
      </c>
      <c r="B138" s="8" t="inlineStr">
        <is>
          <t>并行美术0 视觉预研</t>
        </is>
      </c>
      <c r="C138" s="8" t="inlineStr">
        <is>
          <t>ART-G0 视觉基线</t>
        </is>
      </c>
      <c r="D138" s="8" t="inlineStr">
        <is>
          <t>UI视觉与图标</t>
        </is>
      </c>
      <c r="E138" s="8" t="inlineStr">
        <is>
          <t>UI方向</t>
        </is>
      </c>
      <c r="F138" s="8" t="inlineStr">
        <is>
          <t>探索HUD与管理界面视觉方向</t>
        </is>
      </c>
      <c r="G138" s="8" t="inlineStr">
        <is>
          <t>确认HUD、中枢、现场面板、节点编辑器、警报、规则弹窗和图标的视觉层级与组件语言。</t>
        </is>
      </c>
      <c r="H138" s="21" t="inlineStr">
        <is>
          <t>P0</t>
        </is>
      </c>
      <c r="I138" s="8" t="inlineStr">
        <is>
          <t>ART-001</t>
        </is>
      </c>
      <c r="J138" s="21" t="inlineStr">
        <is>
          <t>ART-RND</t>
        </is>
      </c>
      <c r="K138" s="22" t="n">
        <v>8</v>
      </c>
      <c r="L138" s="22" t="n">
        <v>14</v>
      </c>
      <c r="M138" s="21" t="inlineStr">
        <is>
          <t>中</t>
        </is>
      </c>
      <c r="N138" s="21" t="inlineStr">
        <is>
          <t>美术资源预算</t>
        </is>
      </c>
      <c r="O138" s="8" t="inlineStr">
        <is>
          <t>关键界面具有同一视觉体系的高保真样张，信息密度适合1920×1080。</t>
        </is>
      </c>
      <c r="P138" s="21" t="inlineStr">
        <is>
          <t>已完成</t>
        </is>
      </c>
      <c r="Q138" s="33" t="n"/>
      <c r="R138" s="8" t="inlineStr">
        <is>
          <t>b05-art006页面合同/样张/prefab-layout/视觉prefab已交付，HUD视觉方向探索完成；UI预制体问题梳理（脏数据/布局重写）已收尾</t>
        </is>
      </c>
    </row>
    <row r="139" ht="24" customHeight="1" s="1">
      <c r="A139" s="8" t="inlineStr">
        <is>
          <t>ART-007</t>
        </is>
      </c>
      <c r="B139" s="8" t="inlineStr">
        <is>
          <t>并行美术0 视觉预研</t>
        </is>
      </c>
      <c r="C139" s="8" t="inlineStr">
        <is>
          <t>ART-G0 视觉基线</t>
        </is>
      </c>
      <c r="D139" s="8" t="inlineStr">
        <is>
          <t>美术方向与规范</t>
        </is>
      </c>
      <c r="E139" s="8" t="inlineStr">
        <is>
          <t>美术规范</t>
        </is>
      </c>
      <c r="F139" s="8" t="inlineStr">
        <is>
          <t>形成第一版Art Bible与验收清单</t>
        </is>
      </c>
      <c r="G139" s="8" t="inlineStr">
        <is>
          <t>固化风格描述、色彩、材质、形状语言、尺度、灯光、状态语义、Do／Don’t和分专业验收标准。</t>
        </is>
      </c>
      <c r="H139" s="21" t="inlineStr">
        <is>
          <t>P0</t>
        </is>
      </c>
      <c r="I139" s="8" t="inlineStr">
        <is>
          <t>ART-002,ART-003,ART-004,ART-005,ART-006</t>
        </is>
      </c>
      <c r="J139" s="21" t="inlineStr">
        <is>
          <t>ART-RND</t>
        </is>
      </c>
      <c r="K139" s="22" t="n">
        <v>10</v>
      </c>
      <c r="L139" s="22" t="n">
        <v>16</v>
      </c>
      <c r="M139" s="21" t="inlineStr">
        <is>
          <t>中</t>
        </is>
      </c>
      <c r="N139" s="21" t="inlineStr">
        <is>
          <t>美术资源预算</t>
        </is>
      </c>
      <c r="O139" s="8" t="inlineStr">
        <is>
          <t>场景、3D、动画、VFX和UI均能按清单制作与审稿，不再依赖口头风格判断。</t>
        </is>
      </c>
      <c r="P139" s="21" t="inlineStr">
        <is>
          <t>未开始</t>
        </is>
      </c>
      <c r="Q139" s="33" t="n"/>
      <c r="R139" s="8" t="n"/>
    </row>
    <row r="140" ht="24" customHeight="1" s="1">
      <c r="A140" s="8" t="inlineStr">
        <is>
          <t>ART-025</t>
        </is>
      </c>
      <c r="B140" s="8" t="inlineStr">
        <is>
          <t>并行美术0 视觉预研</t>
        </is>
      </c>
      <c r="C140" s="8" t="inlineStr">
        <is>
          <t>ART-G0 视觉基线</t>
        </is>
      </c>
      <c r="D140" s="8" t="inlineStr">
        <is>
          <t>美术集成与验收</t>
        </is>
      </c>
      <c r="E140" s="8" t="inlineStr">
        <is>
          <t>导入规则</t>
        </is>
      </c>
      <c r="F140" s="8" t="inlineStr">
        <is>
          <t>配置主工程导入、材质与Shader兼容规则</t>
        </is>
      </c>
      <c r="G140" s="8" t="inlineStr">
        <is>
          <t>在主工程建立模型、贴图、动画、音频和VFX导入预设及材质兼容检查。</t>
        </is>
      </c>
      <c r="H140" s="21" t="inlineStr">
        <is>
          <t>P0</t>
        </is>
      </c>
      <c r="I140" s="8" t="inlineStr">
        <is>
          <t>P0-012,ART-007</t>
        </is>
      </c>
      <c r="J140" s="21" t="inlineStr">
        <is>
          <t>ART-PILOT</t>
        </is>
      </c>
      <c r="K140" s="22" t="n">
        <v>8</v>
      </c>
      <c r="L140" s="22" t="n">
        <v>12</v>
      </c>
      <c r="M140" s="21" t="inlineStr">
        <is>
          <t>中</t>
        </is>
      </c>
      <c r="N140" s="21" t="inlineStr">
        <is>
          <t>美术资源预算</t>
        </is>
      </c>
      <c r="O140" s="8" t="inlineStr">
        <is>
          <t>同一资源重复导入结果稳定，错误规格能在绑定前被发现。</t>
        </is>
      </c>
      <c r="P140" s="21" t="inlineStr">
        <is>
          <t>未开始</t>
        </is>
      </c>
      <c r="Q140" s="33" t="n"/>
      <c r="R140" s="8" t="inlineStr">
        <is>
          <t>早期建立主工程导入预设，不等待正式资源包完成。</t>
        </is>
      </c>
    </row>
    <row r="141" ht="24" customHeight="1" s="1">
      <c r="A141" s="8" t="inlineStr">
        <is>
          <t>ART-031</t>
        </is>
      </c>
      <c r="B141" s="8" t="inlineStr">
        <is>
          <t>并行美术0 视觉预研</t>
        </is>
      </c>
      <c r="C141" s="8" t="inlineStr">
        <is>
          <t>ART-G0 视觉基线</t>
        </is>
      </c>
      <c r="D141" s="8" t="inlineStr">
        <is>
          <t>美术集成与验收</t>
        </is>
      </c>
      <c r="E141" s="8" t="inlineStr">
        <is>
          <t>贯通验证</t>
        </is>
      </c>
      <c r="F141" s="8" t="inlineStr">
        <is>
          <t>完成代表性资源导入贯通验证</t>
        </is>
      </c>
      <c r="G141" s="20" t="inlineStr">
        <is>
          <t>使用一个场景模块、一台机器与可替换组件、一段程序化循环动作、一个VFX和一组UI切图验证独立美术项目到主工程的完整交付链。</t>
        </is>
      </c>
      <c r="H141" s="21" t="inlineStr">
        <is>
          <t>P0</t>
        </is>
      </c>
      <c r="I141" s="8" t="inlineStr">
        <is>
          <t>ART-025,P0-010,P0-012,ART-007,P0-015</t>
        </is>
      </c>
      <c r="J141" s="21" t="inlineStr">
        <is>
          <t>ART-PILOT</t>
        </is>
      </c>
      <c r="K141" s="22" t="n">
        <v>8</v>
      </c>
      <c r="L141" s="22" t="n">
        <v>12</v>
      </c>
      <c r="M141" s="21" t="inlineStr">
        <is>
          <t>中</t>
        </is>
      </c>
      <c r="N141" s="21" t="inlineStr">
        <is>
          <t>美术资源预算</t>
        </is>
      </c>
      <c r="O141" s="20" t="inlineStr">
        <is>
          <t>单位、坐标、材质、Shader、Prefab边界、MotionRig、动作资产、VFX、UI切图和重复导入均通过验证；美术项目预览与主工程结果一致，固定GUID及绑定引用不丢失。</t>
        </is>
      </c>
      <c r="P141" s="21" t="inlineStr">
        <is>
          <t>未开始</t>
        </is>
      </c>
      <c r="Q141" s="33" t="n"/>
      <c r="R141" s="8" t="inlineStr">
        <is>
          <t>这是正式资源批量生产前的接口门禁，不要求完整玩法功能。</t>
        </is>
      </c>
    </row>
    <row r="142" ht="24" customHeight="1" s="1">
      <c r="A142" s="8" t="inlineStr">
        <is>
          <t>ART-G0-001</t>
        </is>
      </c>
      <c r="B142" s="8" t="inlineStr">
        <is>
          <t>并行美术0 视觉预研</t>
        </is>
      </c>
      <c r="C142" s="8" t="inlineStr">
        <is>
          <t>ART-G0 视觉基线</t>
        </is>
      </c>
      <c r="D142" s="8" t="inlineStr">
        <is>
          <t>美术集成与验收</t>
        </is>
      </c>
      <c r="E142" s="8" t="inlineStr">
        <is>
          <t>方向验收</t>
        </is>
      </c>
      <c r="F142" s="8" t="inlineStr">
        <is>
          <t>美术方向与生产路线验收</t>
        </is>
      </c>
      <c r="G142" s="8" t="inlineStr">
        <is>
          <t>评审Art Bible、场景样片、动作矩阵、UI样张、独立项目交付合同和代表性资源贯通结果。</t>
        </is>
      </c>
      <c r="H142" s="21" t="inlineStr">
        <is>
          <t>P0</t>
        </is>
      </c>
      <c r="I142" s="8" t="inlineStr">
        <is>
          <t>ART-007,ART-031,P0-016</t>
        </is>
      </c>
      <c r="J142" s="21" t="inlineStr">
        <is>
          <t>ART-G0</t>
        </is>
      </c>
      <c r="K142" s="22" t="n">
        <v>4</v>
      </c>
      <c r="L142" s="22" t="n">
        <v>6</v>
      </c>
      <c r="M142" s="21" t="inlineStr">
        <is>
          <t>高</t>
        </is>
      </c>
      <c r="N142" s="21" t="inlineStr">
        <is>
          <t>美术资源预算</t>
        </is>
      </c>
      <c r="O142" s="8" t="inlineStr">
        <is>
          <t>风格、实现路线和主工程导入接口已确认，后续资源可分专业并行生产且不需要推翻技术路线。</t>
        </is>
      </c>
      <c r="P142" s="21" t="inlineStr">
        <is>
          <t>未开始</t>
        </is>
      </c>
      <c r="Q142" s="33" t="n"/>
      <c r="R142" s="8" t="n"/>
    </row>
    <row r="143" ht="24" customHeight="1" s="1">
      <c r="A143" s="8" t="inlineStr">
        <is>
          <t>ART-008</t>
        </is>
      </c>
      <c r="B143" s="8" t="inlineStr">
        <is>
          <t>并行美术1 资源制作</t>
        </is>
      </c>
      <c r="C143" s="8" t="inlineStr">
        <is>
          <t>ART-G1 资源包完成</t>
        </is>
      </c>
      <c r="D143" s="8" t="inlineStr">
        <is>
          <t>场景与环境美术</t>
        </is>
      </c>
      <c r="E143" s="8" t="inlineStr">
        <is>
          <t>环境基调</t>
        </is>
      </c>
      <c r="F143" s="8" t="inlineStr">
        <is>
          <t>制作环境色彩、天空、光照与氛围样板</t>
        </is>
      </c>
      <c r="G143" s="8" t="inlineStr">
        <is>
          <t>制作勒米拉第一版天空、时间基调、环境雾、主光和区域色彩样板。</t>
        </is>
      </c>
      <c r="H143" s="21" t="inlineStr">
        <is>
          <t>P0</t>
        </is>
      </c>
      <c r="I143" s="8" t="inlineStr">
        <is>
          <t>ART-G0-001</t>
        </is>
      </c>
      <c r="J143" s="21" t="inlineStr">
        <is>
          <t>ART-SCENE</t>
        </is>
      </c>
      <c r="K143" s="22" t="n">
        <v>10</v>
      </c>
      <c r="L143" s="22" t="n">
        <v>16</v>
      </c>
      <c r="M143" s="21" t="inlineStr">
        <is>
          <t>中</t>
        </is>
      </c>
      <c r="N143" s="21" t="inlineStr">
        <is>
          <t>美术资源预算</t>
        </is>
      </c>
      <c r="O143" s="8" t="inlineStr">
        <is>
          <t>白天核心游玩画面层次清晰，机器、资源点和可交互对象不被环境淹没。</t>
        </is>
      </c>
      <c r="P143" s="21" t="inlineStr">
        <is>
          <t>未开始</t>
        </is>
      </c>
      <c r="Q143" s="33" t="n"/>
      <c r="R143" s="8" t="n"/>
    </row>
    <row r="144" ht="24" customHeight="1" s="1">
      <c r="A144" s="8" t="inlineStr">
        <is>
          <t>ART-009</t>
        </is>
      </c>
      <c r="B144" s="8" t="inlineStr">
        <is>
          <t>并行美术1 资源制作</t>
        </is>
      </c>
      <c r="C144" s="8" t="inlineStr">
        <is>
          <t>ART-G1 资源包完成</t>
        </is>
      </c>
      <c r="D144" s="8" t="inlineStr">
        <is>
          <t>场景与环境美术</t>
        </is>
      </c>
      <c r="E144" s="8" t="inlineStr">
        <is>
          <t>地表材质</t>
        </is>
      </c>
      <c r="F144" s="8" t="inlineStr">
        <is>
          <t>制作地形、地表与道路材质组</t>
        </is>
      </c>
      <c r="G144" s="8" t="inlineStr">
        <is>
          <t>制作初始区域需要的地表、岩土、道路、边界与过渡材质，并控制材质数量。</t>
        </is>
      </c>
      <c r="H144" s="21" t="inlineStr">
        <is>
          <t>P0</t>
        </is>
      </c>
      <c r="I144" s="8" t="inlineStr">
        <is>
          <t>ART-G0-001</t>
        </is>
      </c>
      <c r="J144" s="21" t="inlineStr">
        <is>
          <t>ART-SCENE</t>
        </is>
      </c>
      <c r="K144" s="22" t="n">
        <v>10</v>
      </c>
      <c r="L144" s="22" t="n">
        <v>16</v>
      </c>
      <c r="M144" s="21" t="inlineStr">
        <is>
          <t>中</t>
        </is>
      </c>
      <c r="N144" s="21" t="inlineStr">
        <is>
          <t>美术资源预算</t>
        </is>
      </c>
      <c r="O144" s="8" t="inlineStr">
        <is>
          <t>材质可平铺、可混合、无明显接缝，满足既定分辨率和性能预算。</t>
        </is>
      </c>
      <c r="P144" s="21" t="inlineStr">
        <is>
          <t>未开始</t>
        </is>
      </c>
      <c r="Q144" s="33" t="n"/>
      <c r="R144" s="8" t="n"/>
    </row>
    <row r="145" ht="24" customHeight="1" s="1">
      <c r="A145" s="8" t="inlineStr">
        <is>
          <t>ART-010</t>
        </is>
      </c>
      <c r="B145" s="8" t="inlineStr">
        <is>
          <t>并行美术1 资源制作</t>
        </is>
      </c>
      <c r="C145" s="8" t="inlineStr">
        <is>
          <t>ART-G1 资源包完成</t>
        </is>
      </c>
      <c r="D145" s="8" t="inlineStr">
        <is>
          <t>场景与环境美术</t>
        </is>
      </c>
      <c r="E145" s="8" t="inlineStr">
        <is>
          <t>环境模块</t>
        </is>
      </c>
      <c r="F145" s="8" t="inlineStr">
        <is>
          <t>制作模块化环境物件组</t>
        </is>
      </c>
      <c r="G145" s="8" t="inlineStr">
        <is>
          <t>制作岩石、植被、地貌装饰、基地边界和通用环境模块，支持重复组合。</t>
        </is>
      </c>
      <c r="H145" s="21" t="inlineStr">
        <is>
          <t>P0</t>
        </is>
      </c>
      <c r="I145" s="8" t="inlineStr">
        <is>
          <t>ART-G0-001</t>
        </is>
      </c>
      <c r="J145" s="21" t="inlineStr">
        <is>
          <t>ART-SCENE</t>
        </is>
      </c>
      <c r="K145" s="22" t="n">
        <v>12</v>
      </c>
      <c r="L145" s="22" t="n">
        <v>18</v>
      </c>
      <c r="M145" s="21" t="inlineStr">
        <is>
          <t>中</t>
        </is>
      </c>
      <c r="N145" s="21" t="inlineStr">
        <is>
          <t>美术资源预算</t>
        </is>
      </c>
      <c r="O145" s="8" t="inlineStr">
        <is>
          <t>模块能组合出不明显重复的初始区域，不遮挡作业点、导航和交互轮廓。</t>
        </is>
      </c>
      <c r="P145" s="21" t="inlineStr">
        <is>
          <t>未开始</t>
        </is>
      </c>
      <c r="Q145" s="33" t="n"/>
      <c r="R145" s="8" t="n"/>
    </row>
    <row r="146" ht="24" customHeight="1" s="1">
      <c r="A146" s="8" t="inlineStr">
        <is>
          <t>ART-011</t>
        </is>
      </c>
      <c r="B146" s="8" t="inlineStr">
        <is>
          <t>并行美术1 资源制作</t>
        </is>
      </c>
      <c r="C146" s="8" t="inlineStr">
        <is>
          <t>ART-G1 资源包完成</t>
        </is>
      </c>
      <c r="D146" s="8" t="inlineStr">
        <is>
          <t>场景与环境美术</t>
        </is>
      </c>
      <c r="E146" s="8" t="inlineStr">
        <is>
          <t>场景组装</t>
        </is>
      </c>
      <c r="F146" s="8" t="inlineStr">
        <is>
          <t>组装初始区域正式美术场景</t>
        </is>
      </c>
      <c r="G146" s="8" t="inlineStr">
        <is>
          <t>在独立美术项目中按灰盒尺度组装第一版初始区域，完成主要构图、远景与环境叙事。</t>
        </is>
      </c>
      <c r="H146" s="21" t="inlineStr">
        <is>
          <t>P0</t>
        </is>
      </c>
      <c r="I146" s="8" t="inlineStr">
        <is>
          <t>ART-008,ART-009,ART-010</t>
        </is>
      </c>
      <c r="J146" s="21" t="inlineStr">
        <is>
          <t>ART-SCENE</t>
        </is>
      </c>
      <c r="K146" s="22" t="n">
        <v>12</v>
      </c>
      <c r="L146" s="22" t="n">
        <v>18</v>
      </c>
      <c r="M146" s="21" t="inlineStr">
        <is>
          <t>中</t>
        </is>
      </c>
      <c r="N146" s="21" t="inlineStr">
        <is>
          <t>美术资源预算</t>
        </is>
      </c>
      <c r="O146" s="8" t="inlineStr">
        <is>
          <t>正式场景可替换主工程灰盒，通行、占地、视距和交互可读性不改变。</t>
        </is>
      </c>
      <c r="P146" s="21" t="inlineStr">
        <is>
          <t>未开始</t>
        </is>
      </c>
      <c r="Q146" s="33" t="n"/>
      <c r="R146" s="8" t="n"/>
    </row>
    <row r="147" ht="24" customHeight="1" s="1">
      <c r="A147" s="8" t="inlineStr">
        <is>
          <t>ART-032</t>
        </is>
      </c>
      <c r="B147" s="8" t="inlineStr">
        <is>
          <t>并行美术2 导入验收</t>
        </is>
      </c>
      <c r="C147" s="8" t="inlineStr">
        <is>
          <t>ART-G2 美术集成完成</t>
        </is>
      </c>
      <c r="D147" s="8" t="inlineStr">
        <is>
          <t>美术集成与验收</t>
        </is>
      </c>
      <c r="E147" s="8" t="inlineStr">
        <is>
          <t>场景导入</t>
        </is>
      </c>
      <c r="F147" s="8" t="inlineStr">
        <is>
          <t>分批导入场景与环境资源</t>
        </is>
      </c>
      <c r="G147" s="8" t="inlineStr">
        <is>
          <t>导入初始区域场景、地表材质、环境模块和环境基调资源，完成资源引用与灰盒替换准备。</t>
        </is>
      </c>
      <c r="H147" s="21" t="inlineStr">
        <is>
          <t>P0</t>
        </is>
      </c>
      <c r="I147" s="8" t="inlineStr">
        <is>
          <t>ART-011,ART-025,P1-006</t>
        </is>
      </c>
      <c r="J147" s="21" t="inlineStr">
        <is>
          <t>ART-INT-SCENE</t>
        </is>
      </c>
      <c r="K147" s="22" t="n">
        <v>8</v>
      </c>
      <c r="L147" s="22" t="n">
        <v>14</v>
      </c>
      <c r="M147" s="21" t="inlineStr">
        <is>
          <t>中</t>
        </is>
      </c>
      <c r="N147" s="21" t="inlineStr">
        <is>
          <t>美术资源预算</t>
        </is>
      </c>
      <c r="O147" s="8" t="inlineStr">
        <is>
          <t>场景资源可在主工程加载，比例、材质、导航边界、占地和交互可读性与灰盒一致。</t>
        </is>
      </c>
      <c r="P147" s="21" t="inlineStr">
        <is>
          <t>未开始</t>
        </is>
      </c>
      <c r="Q147" s="33" t="n"/>
      <c r="R147" s="8" t="n"/>
    </row>
    <row r="148" ht="24" customHeight="1" s="1">
      <c r="A148" s="8" t="inlineStr">
        <is>
          <t>ART-012</t>
        </is>
      </c>
      <c r="B148" s="8" t="inlineStr">
        <is>
          <t>并行美术1 资源制作</t>
        </is>
      </c>
      <c r="C148" s="8" t="inlineStr">
        <is>
          <t>ART-G1 资源包完成</t>
        </is>
      </c>
      <c r="D148" s="8" t="inlineStr">
        <is>
          <t>3D资产与材质</t>
        </is>
      </c>
      <c r="E148" s="8" t="inlineStr">
        <is>
          <t>机器载体</t>
        </is>
      </c>
      <c r="F148" s="8" t="inlineStr">
        <is>
          <t>制作轮式机器载体正式资源</t>
        </is>
      </c>
      <c r="G148" s="8" t="inlineStr">
        <is>
          <t>制作一级与二级轮式载体的模型、材质、视觉子对象和组件安装位表现。</t>
        </is>
      </c>
      <c r="H148" s="21" t="inlineStr">
        <is>
          <t>P0</t>
        </is>
      </c>
      <c r="I148" s="8" t="inlineStr">
        <is>
          <t>ART-G0-001</t>
        </is>
      </c>
      <c r="J148" s="21" t="inlineStr">
        <is>
          <t>ART-ASSET</t>
        </is>
      </c>
      <c r="K148" s="22" t="n">
        <v>12</v>
      </c>
      <c r="L148" s="22" t="n">
        <v>18</v>
      </c>
      <c r="M148" s="21" t="inlineStr">
        <is>
          <t>中</t>
        </is>
      </c>
      <c r="N148" s="21" t="inlineStr">
        <is>
          <t>美术资源预算</t>
        </is>
      </c>
      <c r="O148" s="8" t="inlineStr">
        <is>
          <t>轮廓、朝向、等级差异和全部安装位清晰，替换组件只改变对应安装位置。</t>
        </is>
      </c>
      <c r="P148" s="21" t="inlineStr">
        <is>
          <t>未开始</t>
        </is>
      </c>
      <c r="Q148" s="33" t="n"/>
      <c r="R148" s="8" t="n"/>
    </row>
    <row r="149" ht="72" customHeight="1" s="1">
      <c r="A149" s="8" t="inlineStr">
        <is>
          <t>ART-013</t>
        </is>
      </c>
      <c r="B149" s="8" t="inlineStr">
        <is>
          <t>并行美术1 资源制作</t>
        </is>
      </c>
      <c r="C149" s="8" t="inlineStr">
        <is>
          <t>ART-G1 资源包完成</t>
        </is>
      </c>
      <c r="D149" s="8" t="inlineStr">
        <is>
          <t>3D资产与材质</t>
        </is>
      </c>
      <c r="E149" s="8" t="inlineStr">
        <is>
          <t>传感器与核心</t>
        </is>
      </c>
      <c r="F149" s="8" t="inlineStr">
        <is>
          <t>制作传感器、计算核心和通信组件资源</t>
        </is>
      </c>
      <c r="G149" s="8" t="inlineStr">
        <is>
          <t>传感器、核心及通信组件静态外壳；沿用已验收槽位，不制作内部电路或新增扫描动画。</t>
        </is>
      </c>
      <c r="H149" s="21" t="inlineStr">
        <is>
          <t>P0</t>
        </is>
      </c>
      <c r="I149" s="8" t="inlineStr">
        <is>
          <t>ART-G0-001</t>
        </is>
      </c>
      <c r="J149" s="21" t="inlineStr">
        <is>
          <t>ART-ASSET</t>
        </is>
      </c>
      <c r="K149" s="22" t="n">
        <v>12</v>
      </c>
      <c r="L149" s="22" t="n">
        <v>18</v>
      </c>
      <c r="M149" s="21" t="inlineStr">
        <is>
          <t>中</t>
        </is>
      </c>
      <c r="N149" s="21" t="inlineStr">
        <is>
          <t>美术资源预算</t>
        </is>
      </c>
      <c r="O149" s="8" t="inlineStr">
        <is>
          <t>组件尺寸符合槽位包络，安装后类别可辨识且不改变机器逻辑根。</t>
        </is>
      </c>
      <c r="P149" s="21" t="inlineStr">
        <is>
          <t>未开始</t>
        </is>
      </c>
      <c r="Q149" s="33" t="n"/>
      <c r="R149" s="8" t="inlineStr">
        <is>
          <t>2026-09-10设计同步，未据此变更实现状态。</t>
        </is>
      </c>
    </row>
    <row r="150" ht="24" customHeight="1" s="1">
      <c r="A150" s="8" t="inlineStr">
        <is>
          <t>ART-014</t>
        </is>
      </c>
      <c r="B150" s="8" t="inlineStr">
        <is>
          <t>并行美术1 资源制作</t>
        </is>
      </c>
      <c r="C150" s="8" t="inlineStr">
        <is>
          <t>ART-G1 资源包完成</t>
        </is>
      </c>
      <c r="D150" s="8" t="inlineStr">
        <is>
          <t>3D资产与材质</t>
        </is>
      </c>
      <c r="E150" s="8" t="inlineStr">
        <is>
          <t>效应器</t>
        </is>
      </c>
      <c r="F150" s="8" t="inlineStr">
        <is>
          <t>制作第一版效应器正式资源</t>
        </is>
      </c>
      <c r="G150" s="8" t="inlineStr">
        <is>
          <t>制作机械臂、水枪、切割器和钻探器的模型、材质、活动层级和作用端点。</t>
        </is>
      </c>
      <c r="H150" s="21" t="inlineStr">
        <is>
          <t>P0</t>
        </is>
      </c>
      <c r="I150" s="8" t="inlineStr">
        <is>
          <t>ART-G0-001</t>
        </is>
      </c>
      <c r="J150" s="21" t="inlineStr">
        <is>
          <t>ART-ASSET</t>
        </is>
      </c>
      <c r="K150" s="22" t="n">
        <v>12</v>
      </c>
      <c r="L150" s="22" t="n">
        <v>18</v>
      </c>
      <c r="M150" s="21" t="inlineStr">
        <is>
          <t>中</t>
        </is>
      </c>
      <c r="N150" s="21" t="inlineStr">
        <is>
          <t>美术资源预算</t>
        </is>
      </c>
      <c r="O150" s="8" t="inlineStr">
        <is>
          <t>四类效应器轮廓明确，活动层级、作用端点和资源接口满足动作实现矩阵。</t>
        </is>
      </c>
      <c r="P150" s="21" t="inlineStr">
        <is>
          <t>未开始</t>
        </is>
      </c>
      <c r="Q150" s="33" t="n"/>
      <c r="R150" s="8" t="n"/>
    </row>
    <row r="151" ht="72" customHeight="1" s="1">
      <c r="A151" s="8" t="inlineStr">
        <is>
          <t>ART-015</t>
        </is>
      </c>
      <c r="B151" s="8" t="inlineStr">
        <is>
          <t>并行美术1 资源制作</t>
        </is>
      </c>
      <c r="C151" s="8" t="inlineStr">
        <is>
          <t>ART-G1 资源包完成</t>
        </is>
      </c>
      <c r="D151" s="8" t="inlineStr">
        <is>
          <t>3D资产与材质</t>
        </is>
      </c>
      <c r="E151" s="8" t="inlineStr">
        <is>
          <t>建筑</t>
        </is>
      </c>
      <c r="F151" s="8" t="inlineStr">
        <is>
          <t>制作第一版建筑正式资源</t>
        </is>
      </c>
      <c r="G151" s="8" t="inlineStr">
        <is>
          <t>仓库外壳与入口、工坊外壳及双输出接口、静态能源建筑与岸边水泵；无仓库内部库存、容量四档、追日或泵机运动。</t>
        </is>
      </c>
      <c r="H151" s="21" t="inlineStr">
        <is>
          <t>P0</t>
        </is>
      </c>
      <c r="I151" s="8" t="inlineStr">
        <is>
          <t>ART-G0-001</t>
        </is>
      </c>
      <c r="J151" s="21" t="inlineStr">
        <is>
          <t>ART-ASSET</t>
        </is>
      </c>
      <c r="K151" s="22" t="n">
        <v>12</v>
      </c>
      <c r="L151" s="22" t="n">
        <v>18</v>
      </c>
      <c r="M151" s="21" t="inlineStr">
        <is>
          <t>中</t>
        </is>
      </c>
      <c r="N151" s="21" t="inlineStr">
        <is>
          <t>美术资源预算</t>
        </is>
      </c>
      <c r="O151" s="8" t="inlineStr">
        <is>
          <t>建筑功能从轮廓和活动区域可辨识，外观适配灰盒占地与物流锚点。</t>
        </is>
      </c>
      <c r="P151" s="21" t="inlineStr">
        <is>
          <t>未开始</t>
        </is>
      </c>
      <c r="Q151" s="33" t="n"/>
      <c r="R151" s="8" t="inlineStr">
        <is>
          <t>2026-09-10设计同步，未据此变更实现状态。</t>
        </is>
      </c>
    </row>
    <row r="152" ht="72" customHeight="1" s="1">
      <c r="A152" s="8" t="inlineStr">
        <is>
          <t>ART-016</t>
        </is>
      </c>
      <c r="B152" s="8" t="inlineStr">
        <is>
          <t>并行美术1 资源制作</t>
        </is>
      </c>
      <c r="C152" s="8" t="inlineStr">
        <is>
          <t>ART-G1 资源包完成</t>
        </is>
      </c>
      <c r="D152" s="8" t="inlineStr">
        <is>
          <t>3D资产与材质</t>
        </is>
      </c>
      <c r="E152" s="8" t="inlineStr">
        <is>
          <t>资源点</t>
        </is>
      </c>
      <c r="F152" s="8" t="inlineStr">
        <is>
          <t>制作资源点、作物和产物正式资源</t>
        </is>
      </c>
      <c r="G152" s="8" t="inlineStr">
        <is>
          <t>农田土垄／残留、人工林、地表矿脉与无限水面；作物、树木及任意切割工具由用户提供，矿石少量网格配贴图。</t>
        </is>
      </c>
      <c r="H152" s="21" t="inlineStr">
        <is>
          <t>P0</t>
        </is>
      </c>
      <c r="I152" s="8" t="inlineStr">
        <is>
          <t>ART-G0-001</t>
        </is>
      </c>
      <c r="J152" s="21" t="inlineStr">
        <is>
          <t>ART-ASSET</t>
        </is>
      </c>
      <c r="K152" s="22" t="n">
        <v>12</v>
      </c>
      <c r="L152" s="22" t="n">
        <v>18</v>
      </c>
      <c r="M152" s="21" t="inlineStr">
        <is>
          <t>中</t>
        </is>
      </c>
      <c r="N152" s="21" t="inlineStr">
        <is>
          <t>美术资源预算</t>
        </is>
      </c>
      <c r="O152" s="8" t="inlineStr">
        <is>
          <t>资源点支持已确认玩法且无游离件；用户外部资源完成适配，不能因缺模型擅自改功能。</t>
        </is>
      </c>
      <c r="P152" s="21" t="inlineStr">
        <is>
          <t>未开始</t>
        </is>
      </c>
      <c r="Q152" s="33" t="n"/>
      <c r="R152" s="8" t="inlineStr">
        <is>
          <t>2026-09-10设计同步，未据此变更实现状态。</t>
        </is>
      </c>
    </row>
    <row r="153" ht="72" customHeight="1" s="1">
      <c r="A153" s="8" t="inlineStr">
        <is>
          <t>ART-033</t>
        </is>
      </c>
      <c r="B153" s="8" t="inlineStr">
        <is>
          <t>并行美术2 导入验收</t>
        </is>
      </c>
      <c r="C153" s="8" t="inlineStr">
        <is>
          <t>ART-G2 美术集成完成</t>
        </is>
      </c>
      <c r="D153" s="8" t="inlineStr">
        <is>
          <t>美术集成与验收</t>
        </is>
      </c>
      <c r="E153" s="8" t="inlineStr">
        <is>
          <t>对象导入</t>
        </is>
      </c>
      <c r="F153" s="8" t="inlineStr">
        <is>
          <t>分批导入建筑与资源点资源</t>
        </is>
      </c>
      <c r="G153" s="8" t="inlineStr">
        <is>
          <t>导入静态建筑（含水泵）、四类资源点、作物与产物，按类型根目录只交付正式资源，不重导已验收11项机械模型。</t>
        </is>
      </c>
      <c r="H153" s="21" t="inlineStr">
        <is>
          <t>P0</t>
        </is>
      </c>
      <c r="I153" s="8" t="inlineStr">
        <is>
          <t>ART-015,ART-016,ART-025,P1-007,P1-008</t>
        </is>
      </c>
      <c r="J153" s="21" t="inlineStr">
        <is>
          <t>ART-INT-OBJECT</t>
        </is>
      </c>
      <c r="K153" s="22" t="n">
        <v>10</v>
      </c>
      <c r="L153" s="22" t="n">
        <v>16</v>
      </c>
      <c r="M153" s="21" t="inlineStr">
        <is>
          <t>中</t>
        </is>
      </c>
      <c r="N153" s="21" t="inlineStr">
        <is>
          <t>美术资源预算</t>
        </is>
      </c>
      <c r="O153" s="8" t="inlineStr">
        <is>
          <t>正式视觉替换灰盒后，对象ID、碰撞、占地、作业点、物流点和存档语义不变。</t>
        </is>
      </c>
      <c r="P153" s="21" t="inlineStr">
        <is>
          <t>未开始</t>
        </is>
      </c>
      <c r="Q153" s="33" t="n"/>
      <c r="R153" s="8" t="inlineStr">
        <is>
          <t>2026-09-10设计同步，未据此变更实现状态。</t>
        </is>
      </c>
    </row>
    <row r="154" ht="24" customHeight="1" s="1">
      <c r="A154" s="8" t="inlineStr">
        <is>
          <t>ART-017</t>
        </is>
      </c>
      <c r="B154" s="8" t="inlineStr">
        <is>
          <t>并行美术1 资源制作</t>
        </is>
      </c>
      <c r="C154" s="8" t="inlineStr">
        <is>
          <t>ART-G1 资源包完成</t>
        </is>
      </c>
      <c r="D154" s="8" t="inlineStr">
        <is>
          <t>3D资产与材质</t>
        </is>
      </c>
      <c r="E154" s="8" t="inlineStr">
        <is>
          <t>接口规范</t>
        </is>
      </c>
      <c r="F154" s="8" t="inlineStr">
        <is>
          <t>完成组件安装位与可替换外观规范</t>
        </is>
      </c>
      <c r="G154" s="8" t="inlineStr">
        <is>
          <t>统一挂点方向、缩放、包络、遮挡、安全活动空间和替换预览规则。</t>
        </is>
      </c>
      <c r="H154" s="21" t="inlineStr">
        <is>
          <t>P0</t>
        </is>
      </c>
      <c r="I154" s="8" t="inlineStr">
        <is>
          <t>ART-012,ART-013,ART-014</t>
        </is>
      </c>
      <c r="J154" s="21" t="inlineStr">
        <is>
          <t>ART-ASSET</t>
        </is>
      </c>
      <c r="K154" s="22" t="n">
        <v>8</v>
      </c>
      <c r="L154" s="22" t="n">
        <v>12</v>
      </c>
      <c r="M154" s="21" t="inlineStr">
        <is>
          <t>高</t>
        </is>
      </c>
      <c r="N154" s="21" t="inlineStr">
        <is>
          <t>美术资源预算</t>
        </is>
      </c>
      <c r="O154" s="8" t="inlineStr">
        <is>
          <t>任意兼容组件可装入对应槽位，无穿插、错误朝向或整机非预期变化。</t>
        </is>
      </c>
      <c r="P154" s="21" t="inlineStr">
        <is>
          <t>未开始</t>
        </is>
      </c>
      <c r="Q154" s="33" t="n"/>
      <c r="R154" s="8" t="n"/>
    </row>
    <row r="155" ht="24" customHeight="1" s="1">
      <c r="A155" s="8" t="inlineStr">
        <is>
          <t>ART-018</t>
        </is>
      </c>
      <c r="B155" s="8" t="inlineStr">
        <is>
          <t>并行美术1 资源制作</t>
        </is>
      </c>
      <c r="C155" s="8" t="inlineStr">
        <is>
          <t>ART-G1 资源包完成</t>
        </is>
      </c>
      <c r="D155" s="8" t="inlineStr">
        <is>
          <t>动画与交互动效</t>
        </is>
      </c>
      <c r="E155" s="8" t="inlineStr">
        <is>
          <t>机器动作</t>
        </is>
      </c>
      <c r="F155" s="8" t="inlineStr">
        <is>
          <t>制作机器移动、转向、待机与启停动作</t>
        </is>
      </c>
      <c r="G155" s="8" t="inlineStr">
        <is>
          <t>依据动作矩阵制作轮式载体的移动、转向、休眠、开机、断连和重连表现。</t>
        </is>
      </c>
      <c r="H155" s="21" t="inlineStr">
        <is>
          <t>P0</t>
        </is>
      </c>
      <c r="I155" s="8" t="inlineStr">
        <is>
          <t>ART-G0-001,ART-012</t>
        </is>
      </c>
      <c r="J155" s="21" t="inlineStr">
        <is>
          <t>ART-MOTION</t>
        </is>
      </c>
      <c r="K155" s="22" t="n">
        <v>10</v>
      </c>
      <c r="L155" s="22" t="n">
        <v>16</v>
      </c>
      <c r="M155" s="21" t="inlineStr">
        <is>
          <t>中</t>
        </is>
      </c>
      <c r="N155" s="21" t="inlineStr">
        <is>
          <t>美术资源预算</t>
        </is>
      </c>
      <c r="O155" s="8" t="inlineStr">
        <is>
          <t>动作可被状态参数驱动，可安全循环和中断，不影响导航逻辑与碰撞根。</t>
        </is>
      </c>
      <c r="P155" s="21" t="inlineStr">
        <is>
          <t>未开始</t>
        </is>
      </c>
      <c r="Q155" s="33" t="n"/>
      <c r="R155" s="8" t="n"/>
    </row>
    <row r="156" ht="24" customHeight="1" s="1">
      <c r="A156" s="8" t="inlineStr">
        <is>
          <t>ART-019</t>
        </is>
      </c>
      <c r="B156" s="8" t="inlineStr">
        <is>
          <t>并行美术1 资源制作</t>
        </is>
      </c>
      <c r="C156" s="8" t="inlineStr">
        <is>
          <t>ART-G1 资源包完成</t>
        </is>
      </c>
      <c r="D156" s="8" t="inlineStr">
        <is>
          <t>动画与交互动效</t>
        </is>
      </c>
      <c r="E156" s="8" t="inlineStr">
        <is>
          <t>作业动作</t>
        </is>
      </c>
      <c r="F156" s="8" t="inlineStr">
        <is>
          <t>制作效应器与资源作业动作</t>
        </is>
      </c>
      <c r="G156" s="8" t="inlineStr">
        <is>
          <t>制作机械臂装卸／播种／收获、水枪喷射、切割与钻探动作及循环段。</t>
        </is>
      </c>
      <c r="H156" s="21" t="inlineStr">
        <is>
          <t>P0</t>
        </is>
      </c>
      <c r="I156" s="8" t="inlineStr">
        <is>
          <t>ART-014,ART-017</t>
        </is>
      </c>
      <c r="J156" s="21" t="inlineStr">
        <is>
          <t>ART-MOTION</t>
        </is>
      </c>
      <c r="K156" s="22" t="n">
        <v>12</v>
      </c>
      <c r="L156" s="22" t="n">
        <v>18</v>
      </c>
      <c r="M156" s="21" t="inlineStr">
        <is>
          <t>中</t>
        </is>
      </c>
      <c r="N156" s="21" t="inlineStr">
        <is>
          <t>美术资源预算</t>
        </is>
      </c>
      <c r="O156" s="8" t="inlineStr">
        <is>
          <t>动作开始、持续、安全中断和完成段明确，并能与单位结算时点对齐。</t>
        </is>
      </c>
      <c r="P156" s="21" t="inlineStr">
        <is>
          <t>未开始</t>
        </is>
      </c>
      <c r="Q156" s="33" t="n"/>
      <c r="R156" s="8" t="n"/>
    </row>
    <row r="157" ht="72" customHeight="1" s="1">
      <c r="A157" s="8" t="inlineStr">
        <is>
          <t>ART-020</t>
        </is>
      </c>
      <c r="B157" s="8" t="inlineStr">
        <is>
          <t>并行美术1 资源制作</t>
        </is>
      </c>
      <c r="C157" s="8" t="inlineStr">
        <is>
          <t>ART-G1 资源包完成</t>
        </is>
      </c>
      <c r="D157" s="8" t="inlineStr">
        <is>
          <t>动画与交互动效</t>
        </is>
      </c>
      <c r="E157" s="8" t="inlineStr">
        <is>
          <t>对象状态</t>
        </is>
      </c>
      <c r="F157" s="8" t="inlineStr">
        <is>
          <t>制作资源点与作物复合状态表现</t>
        </is>
      </c>
      <c r="G157" s="8" t="inlineStr">
        <is>
          <t>逐土地湿润／干燥Shader、作物批次状态、矿脉随储量稀疏；静态建筑状态用UI，不新增内部动画、风摆或专项LOD优化。</t>
        </is>
      </c>
      <c r="H157" s="21" t="inlineStr">
        <is>
          <t>P0</t>
        </is>
      </c>
      <c r="I157" s="8" t="inlineStr">
        <is>
          <t>ART-015,ART-016</t>
        </is>
      </c>
      <c r="J157" s="21" t="inlineStr">
        <is>
          <t>ART-MOTION</t>
        </is>
      </c>
      <c r="K157" s="22" t="n">
        <v>10</v>
      </c>
      <c r="L157" s="22" t="n">
        <v>16</v>
      </c>
      <c r="M157" s="21" t="inlineStr">
        <is>
          <t>中</t>
        </is>
      </c>
      <c r="N157" s="21" t="inlineStr">
        <is>
          <t>美术资源预算</t>
        </is>
      </c>
      <c r="O157" s="8" t="inlineStr">
        <is>
          <t>核心状态可由参数切换，循环动作与真实运行状态一致。</t>
        </is>
      </c>
      <c r="P157" s="21" t="inlineStr">
        <is>
          <t>未开始</t>
        </is>
      </c>
      <c r="Q157" s="33" t="n"/>
      <c r="R157" s="8" t="inlineStr">
        <is>
          <t>2026-09-10设计同步，未据此变更实现状态。</t>
        </is>
      </c>
    </row>
    <row r="158" ht="72" customHeight="1" s="1">
      <c r="A158" s="8" t="inlineStr">
        <is>
          <t>ART-021</t>
        </is>
      </c>
      <c r="B158" s="8" t="inlineStr">
        <is>
          <t>并行美术1 资源制作</t>
        </is>
      </c>
      <c r="C158" s="8" t="inlineStr">
        <is>
          <t>ART-G1 资源包完成</t>
        </is>
      </c>
      <c r="D158" s="8" t="inlineStr">
        <is>
          <t>动画与交互动效</t>
        </is>
      </c>
      <c r="E158" s="8" t="inlineStr">
        <is>
          <t>交互动效</t>
        </is>
      </c>
      <c r="F158" s="8" t="inlineStr">
        <is>
          <t>制作选择、建造与配置应用动效包</t>
        </is>
      </c>
      <c r="G158" s="8" t="inlineStr">
        <is>
          <t>新建区域虚影、碰撞围栏和装饰工具；装饰由用户提供且不增加占地；保留选择与配置应用反馈，不做修复施工。</t>
        </is>
      </c>
      <c r="H158" s="21" t="inlineStr">
        <is>
          <t>P0</t>
        </is>
      </c>
      <c r="I158" s="8" t="inlineStr">
        <is>
          <t>ART-G0-001</t>
        </is>
      </c>
      <c r="J158" s="21" t="inlineStr">
        <is>
          <t>ART-MOTION</t>
        </is>
      </c>
      <c r="K158" s="22" t="n">
        <v>12</v>
      </c>
      <c r="L158" s="22" t="n">
        <v>18</v>
      </c>
      <c r="M158" s="21" t="inlineStr">
        <is>
          <t>中</t>
        </is>
      </c>
      <c r="N158" s="21" t="inlineStr">
        <is>
          <t>美术资源预算</t>
        </is>
      </c>
      <c r="O158" s="8" t="inlineStr">
        <is>
          <t>关键操作均有即时反馈，动效不遮挡数值、锚点或错误信息。</t>
        </is>
      </c>
      <c r="P158" s="21" t="inlineStr">
        <is>
          <t>未开始</t>
        </is>
      </c>
      <c r="Q158" s="33" t="n"/>
      <c r="R158" s="8" t="inlineStr">
        <is>
          <t>2026-09-10设计同步，未据此变更实现状态。</t>
        </is>
      </c>
    </row>
    <row r="159" ht="72" customHeight="1" s="1">
      <c r="A159" s="8" t="inlineStr">
        <is>
          <t>ART-022</t>
        </is>
      </c>
      <c r="B159" s="8" t="inlineStr">
        <is>
          <t>并行美术1 资源制作</t>
        </is>
      </c>
      <c r="C159" s="8" t="inlineStr">
        <is>
          <t>ART-G1 资源包完成</t>
        </is>
      </c>
      <c r="D159" s="8" t="inlineStr">
        <is>
          <t>技术美术与特效</t>
        </is>
      </c>
      <c r="E159" s="8" t="inlineStr">
        <is>
          <t>状态特效</t>
        </is>
      </c>
      <c r="F159" s="8" t="inlineStr">
        <is>
          <t>制作状态灯、警报与作业反馈特效包</t>
        </is>
      </c>
      <c r="G159" s="8" t="inlineStr">
        <is>
          <t>按实际需要制作喷水、切割、钻探与既有状态反馈；不强制每个静态对象加灯，不新增发电机附加效果。</t>
        </is>
      </c>
      <c r="H159" s="21" t="inlineStr">
        <is>
          <t>P0</t>
        </is>
      </c>
      <c r="I159" s="8" t="inlineStr">
        <is>
          <t>ART-G0-001</t>
        </is>
      </c>
      <c r="J159" s="21" t="inlineStr">
        <is>
          <t>ART-VFX</t>
        </is>
      </c>
      <c r="K159" s="22" t="n">
        <v>10</v>
      </c>
      <c r="L159" s="22" t="n">
        <v>16</v>
      </c>
      <c r="M159" s="21" t="inlineStr">
        <is>
          <t>中</t>
        </is>
      </c>
      <c r="N159" s="21" t="inlineStr">
        <is>
          <t>美术资源预算</t>
        </is>
      </c>
      <c r="O159" s="8" t="inlineStr">
        <is>
          <t>状态至少通过两种视觉线索表达，特效数量与材质满足性能预算。</t>
        </is>
      </c>
      <c r="P159" s="21" t="inlineStr">
        <is>
          <t>未开始</t>
        </is>
      </c>
      <c r="Q159" s="33" t="n"/>
      <c r="R159" s="8" t="inlineStr">
        <is>
          <t>2026-09-10设计同步，未据此变更实现状态。</t>
        </is>
      </c>
    </row>
    <row r="160" ht="72" customHeight="1" s="1">
      <c r="A160" s="8" t="inlineStr">
        <is>
          <t>ART-023</t>
        </is>
      </c>
      <c r="B160" s="8" t="inlineStr">
        <is>
          <t>并行美术1 资源制作</t>
        </is>
      </c>
      <c r="C160" s="8" t="inlineStr">
        <is>
          <t>ART-G1 资源包完成</t>
        </is>
      </c>
      <c r="D160" s="8" t="inlineStr">
        <is>
          <t>UI视觉与图标</t>
        </is>
      </c>
      <c r="E160" s="8" t="inlineStr">
        <is>
          <t>UI资源</t>
        </is>
      </c>
      <c r="F160" s="8" t="inlineStr">
        <is>
          <t>制作HUD与管理界面视觉资源</t>
        </is>
      </c>
      <c r="G160" s="8" t="inlineStr">
        <is>
          <t>复用已验收ART-006五页中枢与现场HUD样式；未完成业务节点由客户端补齐，美术仅复核新增部分，不重做整套界面。</t>
        </is>
      </c>
      <c r="H160" s="21" t="inlineStr">
        <is>
          <t>P0</t>
        </is>
      </c>
      <c r="I160" s="8" t="inlineStr">
        <is>
          <t>ART-G0-001</t>
        </is>
      </c>
      <c r="J160" s="21" t="inlineStr">
        <is>
          <t>ART-UI</t>
        </is>
      </c>
      <c r="K160" s="22" t="n">
        <v>12</v>
      </c>
      <c r="L160" s="22" t="n">
        <v>18</v>
      </c>
      <c r="M160" s="21" t="inlineStr">
        <is>
          <t>中</t>
        </is>
      </c>
      <c r="N160" s="21" t="inlineStr">
        <is>
          <t>美术资源预算</t>
        </is>
      </c>
      <c r="O160" s="8" t="inlineStr">
        <is>
          <t>核心界面在1920×1080下层级清楚，资源可按组件复用且不改变交互结构。</t>
        </is>
      </c>
      <c r="P160" s="21" t="inlineStr">
        <is>
          <t>未开始</t>
        </is>
      </c>
      <c r="Q160" s="33" t="n"/>
      <c r="R160" s="8" t="inlineStr">
        <is>
          <t>2026-09-10设计同步，未据此变更实现状态。</t>
        </is>
      </c>
    </row>
    <row r="161" ht="24" customHeight="1" s="1">
      <c r="A161" s="8" t="inlineStr">
        <is>
          <t>ART-024</t>
        </is>
      </c>
      <c r="B161" s="8" t="inlineStr">
        <is>
          <t>并行美术1 资源制作</t>
        </is>
      </c>
      <c r="C161" s="8" t="inlineStr">
        <is>
          <t>ART-G1 资源包完成</t>
        </is>
      </c>
      <c r="D161" s="8" t="inlineStr">
        <is>
          <t>UI视觉与图标</t>
        </is>
      </c>
      <c r="E161" s="8" t="inlineStr">
        <is>
          <t>图标资源</t>
        </is>
      </c>
      <c r="F161" s="8" t="inlineStr">
        <is>
          <t>制作第一版图标与状态符号集</t>
        </is>
      </c>
      <c r="G161" s="8" t="inlineStr">
        <is>
          <t>制作资源、机器、组件、建筑、任务、警报、规则、能源与操作图标。</t>
        </is>
      </c>
      <c r="H161" s="21" t="inlineStr">
        <is>
          <t>P0</t>
        </is>
      </c>
      <c r="I161" s="8" t="inlineStr">
        <is>
          <t>ART-023</t>
        </is>
      </c>
      <c r="J161" s="21" t="inlineStr">
        <is>
          <t>ART-UI</t>
        </is>
      </c>
      <c r="K161" s="22" t="n">
        <v>12</v>
      </c>
      <c r="L161" s="22" t="n">
        <v>18</v>
      </c>
      <c r="M161" s="21" t="inlineStr">
        <is>
          <t>中</t>
        </is>
      </c>
      <c r="N161" s="21" t="inlineStr">
        <is>
          <t>美术资源预算</t>
        </is>
      </c>
      <c r="O161" s="8" t="inlineStr">
        <is>
          <t>图标在常用尺寸下可辨识，同类语义一致且不只依赖颜色区分。</t>
        </is>
      </c>
      <c r="P161" s="21" t="inlineStr">
        <is>
          <t>未开始</t>
        </is>
      </c>
      <c r="Q161" s="33" t="n"/>
      <c r="R161" s="8" t="n"/>
    </row>
    <row r="162" ht="24" customHeight="1" s="1">
      <c r="A162" s="8" t="inlineStr">
        <is>
          <t>ART-034</t>
        </is>
      </c>
      <c r="B162" s="8" t="inlineStr">
        <is>
          <t>并行美术2 导入验收</t>
        </is>
      </c>
      <c r="C162" s="8" t="inlineStr">
        <is>
          <t>ART-G2 美术集成完成</t>
        </is>
      </c>
      <c r="D162" s="8" t="inlineStr">
        <is>
          <t>美术集成与验收</t>
        </is>
      </c>
      <c r="E162" s="8" t="inlineStr">
        <is>
          <t>UI导入</t>
        </is>
      </c>
      <c r="F162" s="8" t="inlineStr">
        <is>
          <t>导入UI视觉资源并建立皮肤映射</t>
        </is>
      </c>
      <c r="G162" s="8" t="inlineStr">
        <is>
          <t>导入HUD、中枢、现场面板、节点编辑器、弹窗、通用控件和图标资源，建立可复用皮肤映射。</t>
        </is>
      </c>
      <c r="H162" s="21" t="inlineStr">
        <is>
          <t>P0</t>
        </is>
      </c>
      <c r="I162" s="8" t="inlineStr">
        <is>
          <t>ART-023,ART-024,ART-025,P0-008</t>
        </is>
      </c>
      <c r="J162" s="21" t="inlineStr">
        <is>
          <t>ART-INT-UI</t>
        </is>
      </c>
      <c r="K162" s="22" t="n">
        <v>10</v>
      </c>
      <c r="L162" s="22" t="n">
        <v>16</v>
      </c>
      <c r="M162" s="21" t="inlineStr">
        <is>
          <t>中</t>
        </is>
      </c>
      <c r="N162" s="21" t="inlineStr">
        <is>
          <t>美术资源预算</t>
        </is>
      </c>
      <c r="O162" s="8" t="inlineStr">
        <is>
          <t>代表性UIForm能够应用正式皮肤，切图、九宫格、字体、图标和状态样式无失真且不改变交互结构。</t>
        </is>
      </c>
      <c r="P162" s="21" t="inlineStr">
        <is>
          <t>未开始</t>
        </is>
      </c>
      <c r="Q162" s="33" t="n"/>
      <c r="R162" s="8" t="n"/>
    </row>
    <row r="163" ht="24" customHeight="1" s="1">
      <c r="A163" s="8" t="inlineStr">
        <is>
          <t>ART-G1-001</t>
        </is>
      </c>
      <c r="B163" s="8" t="inlineStr">
        <is>
          <t>并行美术1 资源制作</t>
        </is>
      </c>
      <c r="C163" s="8" t="inlineStr">
        <is>
          <t>ART-G1 资源包完成</t>
        </is>
      </c>
      <c r="D163" s="8" t="inlineStr">
        <is>
          <t>美术集成与验收</t>
        </is>
      </c>
      <c r="E163" s="8" t="inlineStr">
        <is>
          <t>资源验收</t>
        </is>
      </c>
      <c r="F163" s="8" t="inlineStr">
        <is>
          <t>独立美术项目资源包验收</t>
        </is>
      </c>
      <c r="G163" s="8" t="inlineStr">
        <is>
          <t>按Art Bible和交付合同评审场景、模型、材质、动画、VFX与UI资源完整性。</t>
        </is>
      </c>
      <c r="H163" s="21" t="inlineStr">
        <is>
          <t>P0</t>
        </is>
      </c>
      <c r="I163" s="8" t="inlineStr">
        <is>
          <t>ART-011,ART-017,ART-018,ART-019,ART-020,ART-021,ART-022,ART-023,ART-024</t>
        </is>
      </c>
      <c r="J163" s="21" t="inlineStr">
        <is>
          <t>ART-G1</t>
        </is>
      </c>
      <c r="K163" s="22" t="n">
        <v>6</v>
      </c>
      <c r="L163" s="22" t="n">
        <v>10</v>
      </c>
      <c r="M163" s="21" t="inlineStr">
        <is>
          <t>中</t>
        </is>
      </c>
      <c r="N163" s="21" t="inlineStr">
        <is>
          <t>美术资源预算</t>
        </is>
      </c>
      <c r="O163" s="8" t="inlineStr">
        <is>
          <t>全部第一版资源通过专业验收，可按版本化导出包导入主工程。</t>
        </is>
      </c>
      <c r="P163" s="21" t="inlineStr">
        <is>
          <t>未开始</t>
        </is>
      </c>
      <c r="Q163" s="33" t="n"/>
      <c r="R163" s="8" t="n"/>
    </row>
    <row r="164" ht="36" customHeight="1" s="1">
      <c r="A164" s="8" t="inlineStr">
        <is>
          <t>ART-026</t>
        </is>
      </c>
      <c r="B164" s="8" t="inlineStr">
        <is>
          <t>并行美术2 导入验收</t>
        </is>
      </c>
      <c r="C164" s="8" t="inlineStr">
        <is>
          <t>ART-G2 美术集成完成</t>
        </is>
      </c>
      <c r="D164" s="8" t="inlineStr">
        <is>
          <t>美术集成与验收</t>
        </is>
      </c>
      <c r="E164" s="8" t="inlineStr">
        <is>
          <t>机器组件导入</t>
        </is>
      </c>
      <c r="F164" s="8" t="inlineStr">
        <is>
          <t>导入机器与组件资源并绑定视觉子对象</t>
        </is>
      </c>
      <c r="G164" s="8" t="inlineStr">
        <is>
          <t>导入轮式载体、传感器、计算核心、通信组件和效应器资源，绑定机器逻辑根、槽位与活动端点。</t>
        </is>
      </c>
      <c r="H164" s="21" t="inlineStr">
        <is>
          <t>P0</t>
        </is>
      </c>
      <c r="I164" s="8" t="inlineStr">
        <is>
          <t>ART-012,ART-013,ART-014,ART-017,ART-025,P2-011</t>
        </is>
      </c>
      <c r="J164" s="21" t="inlineStr">
        <is>
          <t>ART-INT</t>
        </is>
      </c>
      <c r="K164" s="22" t="n">
        <v>12</v>
      </c>
      <c r="L164" s="22" t="n">
        <v>18</v>
      </c>
      <c r="M164" s="21" t="inlineStr">
        <is>
          <t>低</t>
        </is>
      </c>
      <c r="N164" s="21" t="inlineStr">
        <is>
          <t>美术资源预算</t>
        </is>
      </c>
      <c r="O164" s="8" t="inlineStr">
        <is>
          <t>机器与组件替换灰盒后，永久ID、逻辑根、碰撞、槽位、端点和存档语义不变。</t>
        </is>
      </c>
      <c r="P164" s="21" t="inlineStr">
        <is>
          <t>未开始</t>
        </is>
      </c>
      <c r="Q164" s="33" t="n"/>
      <c r="R164" s="8" t="inlineStr">
        <is>
          <t>机器资源完成后即可导入，不等待ART-G1或程序阶段6。</t>
        </is>
      </c>
    </row>
    <row r="165" ht="24" customHeight="1" s="1">
      <c r="A165" s="8" t="inlineStr">
        <is>
          <t>ART-027</t>
        </is>
      </c>
      <c r="B165" s="8" t="inlineStr">
        <is>
          <t>并行美术2 导入验收</t>
        </is>
      </c>
      <c r="C165" s="8" t="inlineStr">
        <is>
          <t>ART-G2 美术集成完成</t>
        </is>
      </c>
      <c r="D165" s="8" t="inlineStr">
        <is>
          <t>美术集成与验收</t>
        </is>
      </c>
      <c r="E165" s="8" t="inlineStr">
        <is>
          <t>表现接入</t>
        </is>
      </c>
      <c r="F165" s="8" t="inlineStr">
        <is>
          <t>接入动画、VFX与状态表现</t>
        </is>
      </c>
      <c r="G165" s="20" t="inlineStr">
        <is>
          <t>将机器、效应器、建筑、资源点动画和VFX绑定到移动、作业、运行、阻塞、制造与能源等真实状态。真实玩法状态通过 AutoEra Adapter 写入强类型动作参数，动作表现不得反向决定玩法结算。</t>
        </is>
      </c>
      <c r="H165" s="21" t="inlineStr">
        <is>
          <t>P0</t>
        </is>
      </c>
      <c r="I165" s="8" t="inlineStr">
        <is>
          <t>ART-018,ART-019,ART-020,ART-021,ART-022,ART-025,P0-016,P4-016,P6-014</t>
        </is>
      </c>
      <c r="J165" s="21" t="inlineStr">
        <is>
          <t>ART-INT</t>
        </is>
      </c>
      <c r="K165" s="22" t="n">
        <v>12</v>
      </c>
      <c r="L165" s="22" t="n">
        <v>18</v>
      </c>
      <c r="M165" s="21" t="inlineStr">
        <is>
          <t>低</t>
        </is>
      </c>
      <c r="N165" s="21" t="inlineStr">
        <is>
          <t>美术资源预算</t>
        </is>
      </c>
      <c r="O165" s="8" t="inlineStr">
        <is>
          <t>动画与VFX由真实状态驱动，循环、中断、对象回收和重进场景后不残留错误表现。</t>
        </is>
      </c>
      <c r="P165" s="21" t="inlineStr">
        <is>
          <t>未开始</t>
        </is>
      </c>
      <c r="Q165" s="33" t="n"/>
      <c r="R165" s="8" t="inlineStr">
        <is>
          <t>资源完成后分批接入，不等待全部美术资源完成。</t>
        </is>
      </c>
    </row>
    <row r="166" ht="24" customHeight="1" s="1">
      <c r="A166" s="8" t="inlineStr">
        <is>
          <t>ART-028</t>
        </is>
      </c>
      <c r="B166" s="8" t="inlineStr">
        <is>
          <t>并行美术2 导入验收</t>
        </is>
      </c>
      <c r="C166" s="8" t="inlineStr">
        <is>
          <t>ART-G2 美术集成完成</t>
        </is>
      </c>
      <c r="D166" s="8" t="inlineStr">
        <is>
          <t>场景与环境美术</t>
        </is>
      </c>
      <c r="E166" s="8" t="inlineStr">
        <is>
          <t>场景集成</t>
        </is>
      </c>
      <c r="F166" s="8" t="inlineStr">
        <is>
          <t>集成场景灯光、环境与后处理</t>
        </is>
      </c>
      <c r="G166" s="8" t="inlineStr">
        <is>
          <t>在主工程接入正式场景、灯光、天空、雾和后处理，并校准相机下的可读性。</t>
        </is>
      </c>
      <c r="H166" s="21" t="inlineStr">
        <is>
          <t>P0</t>
        </is>
      </c>
      <c r="I166" s="8" t="inlineStr">
        <is>
          <t>ART-032</t>
        </is>
      </c>
      <c r="J166" s="21" t="inlineStr">
        <is>
          <t>ART-INT</t>
        </is>
      </c>
      <c r="K166" s="22" t="n">
        <v>8</v>
      </c>
      <c r="L166" s="22" t="n">
        <v>14</v>
      </c>
      <c r="M166" s="21" t="inlineStr">
        <is>
          <t>中</t>
        </is>
      </c>
      <c r="N166" s="21" t="inlineStr">
        <is>
          <t>美术资源预算</t>
        </is>
      </c>
      <c r="O166" s="8" t="inlineStr">
        <is>
          <t>主相机下画面与样片一致，交互轮廓、状态灯和UI不被环境效果削弱。</t>
        </is>
      </c>
      <c r="P166" s="21" t="inlineStr">
        <is>
          <t>未开始</t>
        </is>
      </c>
      <c r="Q166" s="33" t="n"/>
      <c r="R166" s="8" t="n"/>
    </row>
    <row r="167" ht="25.5" customHeight="1" s="1">
      <c r="A167" s="8" t="inlineStr">
        <is>
          <t>ART-029</t>
        </is>
      </c>
      <c r="B167" s="8" t="inlineStr">
        <is>
          <t>并行美术2 导入验收</t>
        </is>
      </c>
      <c r="C167" s="8" t="inlineStr">
        <is>
          <t>ART-G2 美术集成完成</t>
        </is>
      </c>
      <c r="D167" s="8" t="inlineStr">
        <is>
          <t>美术集成与验收</t>
        </is>
      </c>
      <c r="E167" s="8" t="inlineStr">
        <is>
          <t>性能验收</t>
        </is>
      </c>
      <c r="F167" s="8" t="inlineStr">
        <is>
          <t>执行资源规范与表现性能验收</t>
        </is>
      </c>
      <c r="G167" s="8" t="inlineStr">
        <is>
          <t>检查面数、材质、贴图、骨骼、Animator、粒子、Overdraw、批次和内存预算。</t>
        </is>
      </c>
      <c r="H167" s="8" t="inlineStr">
        <is>
          <t>P0</t>
        </is>
      </c>
      <c r="I167" s="8" t="inlineStr">
        <is>
          <t>ART-026,ART-027,ART-028,ART-032,ART-033,ART-034,P8-012</t>
        </is>
      </c>
      <c r="J167" s="8" t="inlineStr">
        <is>
          <t>ART-INT</t>
        </is>
      </c>
      <c r="K167" s="30" t="n">
        <v>10</v>
      </c>
      <c r="L167" s="30" t="n">
        <v>16</v>
      </c>
      <c r="M167" s="8" t="inlineStr">
        <is>
          <t>低</t>
        </is>
      </c>
      <c r="N167" s="8" t="inlineStr">
        <is>
          <t>美术资源预算</t>
        </is>
      </c>
      <c r="O167" s="8" t="inlineStr">
        <is>
          <t>目标场景长时运行无持续资源增长，关键资源符合既定预算并保留降级方案。</t>
        </is>
      </c>
      <c r="P167" s="8" t="inlineStr">
        <is>
          <t>未开始</t>
        </is>
      </c>
      <c r="Q167" s="35" t="n"/>
      <c r="R167" s="8" t="n"/>
    </row>
    <row r="168" ht="25.5" customHeight="1" s="1">
      <c r="A168" s="8" t="inlineStr">
        <is>
          <t>ART-030</t>
        </is>
      </c>
      <c r="B168" s="8" t="inlineStr">
        <is>
          <t>并行美术2 导入验收</t>
        </is>
      </c>
      <c r="C168" s="8" t="inlineStr">
        <is>
          <t>ART-G2 美术集成完成</t>
        </is>
      </c>
      <c r="D168" s="8" t="inlineStr">
        <is>
          <t>美术方向与规范</t>
        </is>
      </c>
      <c r="E168" s="8" t="inlineStr">
        <is>
          <t>一致性收口</t>
        </is>
      </c>
      <c r="F168" s="8" t="inlineStr">
        <is>
          <t>完成全局视觉一致性与可读性修正</t>
        </is>
      </c>
      <c r="G168" s="8" t="inlineStr">
        <is>
          <t>按Art Bible复查场景、对象、UI、动画和VFX，修正比例、色彩、材质与反馈冲突。</t>
        </is>
      </c>
      <c r="H168" s="8" t="inlineStr">
        <is>
          <t>P0</t>
        </is>
      </c>
      <c r="I168" s="8" t="inlineStr">
        <is>
          <t>ART-026,ART-027,ART-028,ART-032,ART-033,ART-034,P8-010</t>
        </is>
      </c>
      <c r="J168" s="8" t="inlineStr">
        <is>
          <t>ART-INT</t>
        </is>
      </c>
      <c r="K168" s="30" t="n">
        <v>10</v>
      </c>
      <c r="L168" s="30" t="n">
        <v>16</v>
      </c>
      <c r="M168" s="8" t="inlineStr">
        <is>
          <t>中</t>
        </is>
      </c>
      <c r="N168" s="8" t="inlineStr">
        <is>
          <t>美术资源预算</t>
        </is>
      </c>
      <c r="O168" s="8" t="inlineStr">
        <is>
          <t>核心流程截图与动图通过一致性清单，重要状态无需打开调试信息即可辨识。</t>
        </is>
      </c>
      <c r="P168" s="8" t="inlineStr">
        <is>
          <t>未开始</t>
        </is>
      </c>
      <c r="Q168" s="35" t="n"/>
      <c r="R168" s="8" t="n"/>
    </row>
    <row r="169" ht="25.5" customHeight="1" s="1">
      <c r="A169" s="8" t="inlineStr">
        <is>
          <t>ART-G2-001</t>
        </is>
      </c>
      <c r="B169" s="8" t="inlineStr">
        <is>
          <t>并行美术2 导入验收</t>
        </is>
      </c>
      <c r="C169" s="8" t="inlineStr">
        <is>
          <t>ART-G2 美术集成完成</t>
        </is>
      </c>
      <c r="D169" s="8" t="inlineStr">
        <is>
          <t>美术集成与验收</t>
        </is>
      </c>
      <c r="E169" s="8" t="inlineStr">
        <is>
          <t>最终验收</t>
        </is>
      </c>
      <c r="F169" s="8" t="inlineStr">
        <is>
          <t>正式美术集成验收</t>
        </is>
      </c>
      <c r="G169" s="8" t="inlineStr">
        <is>
          <t>联合检查分批导入结果、正式场景、资产、动画、交互动效、UI视觉、性能和灰盒替换边界。</t>
        </is>
      </c>
      <c r="H169" s="8" t="inlineStr">
        <is>
          <t>P0</t>
        </is>
      </c>
      <c r="I169" s="8" t="inlineStr">
        <is>
          <t>ART-026,ART-027,ART-032,ART-033,ART-034,ART-029,ART-030</t>
        </is>
      </c>
      <c r="J169" s="8" t="inlineStr">
        <is>
          <t>ART-G2</t>
        </is>
      </c>
      <c r="K169" s="30" t="n">
        <v>6</v>
      </c>
      <c r="L169" s="30" t="n">
        <v>10</v>
      </c>
      <c r="M169" s="8" t="inlineStr">
        <is>
          <t>中</t>
        </is>
      </c>
      <c r="N169" s="8" t="inlineStr">
        <is>
          <t>美术资源预算</t>
        </is>
      </c>
      <c r="O169" s="8" t="inlineStr">
        <is>
          <t>美术资源已导入主工程并通过完整流程验收，独立美术项目仍可继续迭代和重新导出。</t>
        </is>
      </c>
      <c r="P169" s="8" t="inlineStr">
        <is>
          <t>未开始</t>
        </is>
      </c>
      <c r="Q169" s="35" t="n"/>
      <c r="R169" s="8" t="n"/>
    </row>
    <row r="170" ht="25.5" customHeight="1" s="1">
      <c r="A170" s="8" t="inlineStr">
        <is>
          <t>G8-001</t>
        </is>
      </c>
      <c r="B170" s="8" t="inlineStr">
        <is>
          <t>阶段8 引导与版本终点</t>
        </is>
      </c>
      <c r="C170" s="8" t="inlineStr">
        <is>
          <t>G8 第一版完成</t>
        </is>
      </c>
      <c r="D170" s="8" t="inlineStr">
        <is>
          <t>集成与阶段验收</t>
        </is>
      </c>
      <c r="E170" s="8" t="inlineStr">
        <is>
          <t>最终验收</t>
        </is>
      </c>
      <c r="F170" s="8" t="inlineStr">
        <is>
          <t>第一版里程碑验收</t>
        </is>
      </c>
      <c r="G170" s="8" t="inlineStr">
        <is>
          <t>按第一版目标检查完整流程、恢复路径、存档离线、灰盒表现和版本终点。</t>
        </is>
      </c>
      <c r="H170" s="8" t="inlineStr">
        <is>
          <t>P0</t>
        </is>
      </c>
      <c r="I170" s="8" t="inlineStr">
        <is>
          <t>P8-007,P8-009,P8-010,P8-013,P8-014,ART-G2-001</t>
        </is>
      </c>
      <c r="J170" s="8" t="inlineStr">
        <is>
          <t>G8</t>
        </is>
      </c>
      <c r="K170" s="30" t="n">
        <v>14</v>
      </c>
      <c r="L170" s="30" t="n">
        <v>18</v>
      </c>
      <c r="M170" s="8" t="inlineStr">
        <is>
          <t>低</t>
        </is>
      </c>
      <c r="N170" s="8" t="inlineStr">
        <is>
          <t>程序预算</t>
        </is>
      </c>
      <c r="O170" s="8" t="inlineStr">
        <is>
          <t>第一版能够独立运行并由玩家读懂，正式美术通过集成验收，完成探索准备后明确结束。</t>
        </is>
      </c>
      <c r="P170" s="8" t="inlineStr">
        <is>
          <t>未开始</t>
        </is>
      </c>
      <c r="Q170" s="35" t="n"/>
      <c r="R170" s="8" t="n"/>
    </row>
    <row r="171" ht="72" customHeight="1" s="1">
      <c r="A171" s="24" t="inlineStr">
        <is>
          <t>P4-018</t>
        </is>
      </c>
      <c r="B171" s="24" t="inlineStr">
        <is>
          <t>阶段4 生产物流</t>
        </is>
      </c>
      <c r="C171" s="24" t="inlineStr">
        <is>
          <t>G4 基础生产闭环</t>
        </is>
      </c>
      <c r="D171" s="24" t="inlineStr">
        <is>
          <t>客户端程序</t>
        </is>
      </c>
      <c r="E171" s="24" t="inlineStr">
        <is>
          <t>货物物理与唯一归属</t>
        </is>
      </c>
      <c r="F171" s="24" t="inlineStr">
        <is>
          <t>实现实体货物表现与唯一归属</t>
        </is>
      </c>
      <c r="G171" s="24" t="inlineStr">
        <is>
          <t>物理货物表现不决定权威数量；抓握、自由态、运输段、出料口、容器之间原子交接。</t>
        </is>
      </c>
      <c r="H171" s="25" t="inlineStr">
        <is>
          <t>P0</t>
        </is>
      </c>
      <c r="I171" s="24" t="inlineStr">
        <is>
          <t>P4-010</t>
        </is>
      </c>
      <c r="J171" s="25" t="inlineStr">
        <is>
          <t>A4</t>
        </is>
      </c>
      <c r="K171" s="26" t="n"/>
      <c r="L171" s="26" t="n"/>
      <c r="M171" s="25" t="inlineStr">
        <is>
          <t>待评估</t>
        </is>
      </c>
      <c r="N171" s="25" t="inlineStr">
        <is>
          <t>程序预算</t>
        </is>
      </c>
      <c r="O171" s="24" t="inlineStr">
        <is>
          <t>所有权唯一，取消／断电不复制或丢失货物。</t>
        </is>
      </c>
      <c r="P171" s="25" t="inlineStr">
        <is>
          <t>未开始</t>
        </is>
      </c>
      <c r="Q171" s="34" t="n"/>
      <c r="R171" s="24" t="inlineStr">
        <is>
          <t>2026-09-10按b07补登记；工时待评估，未启动开发。</t>
        </is>
      </c>
    </row>
    <row r="172" ht="72" customHeight="1" s="1">
      <c r="A172" s="24" t="inlineStr">
        <is>
          <t>P4-019</t>
        </is>
      </c>
      <c r="B172" s="24" t="inlineStr">
        <is>
          <t>阶段4 生产物流</t>
        </is>
      </c>
      <c r="C172" s="24" t="inlineStr">
        <is>
          <t>G4 基础生产闭环</t>
        </is>
      </c>
      <c r="D172" s="24" t="inlineStr">
        <is>
          <t>客户端程序</t>
        </is>
      </c>
      <c r="E172" s="24" t="inlineStr">
        <is>
          <t>三段传送带</t>
        </is>
      </c>
      <c r="F172" s="24" t="inlineStr">
        <is>
          <t>实现三段传送带与出料队列</t>
        </is>
      </c>
      <c r="G172" s="24" t="inlineStr">
        <is>
          <t>接料短滚筒、主带、出料短滚筒；出料堆积与溢落仍归出料口，不因视觉满拒绝产物。</t>
        </is>
      </c>
      <c r="H172" s="25" t="inlineStr">
        <is>
          <t>P0</t>
        </is>
      </c>
      <c r="I172" s="24" t="inlineStr">
        <is>
          <t>P4-018</t>
        </is>
      </c>
      <c r="J172" s="25" t="inlineStr">
        <is>
          <t>A4</t>
        </is>
      </c>
      <c r="K172" s="26" t="n"/>
      <c r="L172" s="26" t="n"/>
      <c r="M172" s="25" t="inlineStr">
        <is>
          <t>待评估</t>
        </is>
      </c>
      <c r="N172" s="25" t="inlineStr">
        <is>
          <t>程序预算</t>
        </is>
      </c>
      <c r="O172" s="24" t="inlineStr">
        <is>
          <t>带体连续，半径乘角位移等于带体位移；货物归属与数量守恒。</t>
        </is>
      </c>
      <c r="P172" s="25" t="inlineStr">
        <is>
          <t>未开始</t>
        </is>
      </c>
      <c r="Q172" s="34" t="n"/>
      <c r="R172" s="24" t="inlineStr">
        <is>
          <t>2026-09-10按b07补登记；工时待评估，未启动开发。</t>
        </is>
      </c>
    </row>
    <row r="173" ht="72" customHeight="1" s="1">
      <c r="A173" s="24" t="inlineStr">
        <is>
          <t>P4-020</t>
        </is>
      </c>
      <c r="B173" s="24" t="inlineStr">
        <is>
          <t>阶段4 生产物流</t>
        </is>
      </c>
      <c r="C173" s="24" t="inlineStr">
        <is>
          <t>G4 基础生产闭环</t>
        </is>
      </c>
      <c r="D173" s="24" t="inlineStr">
        <is>
          <t>客户端程序</t>
        </is>
      </c>
      <c r="E173" s="24" t="inlineStr">
        <is>
          <t>下游主动拉取</t>
        </is>
      </c>
      <c r="F173" s="24" t="inlineStr">
        <is>
          <t>实现下游主动拉取与持久化</t>
        </is>
      </c>
      <c r="G173" s="24" t="inlineStr">
        <is>
          <t>下游关联指定出料口主动提取；源不替玩家选下游，保存关联、队列与归属。</t>
        </is>
      </c>
      <c r="H173" s="25" t="inlineStr">
        <is>
          <t>P0</t>
        </is>
      </c>
      <c r="I173" s="24" t="inlineStr">
        <is>
          <t>P4-019</t>
        </is>
      </c>
      <c r="J173" s="25" t="inlineStr">
        <is>
          <t>A4</t>
        </is>
      </c>
      <c r="K173" s="26" t="n"/>
      <c r="L173" s="26" t="n"/>
      <c r="M173" s="25" t="inlineStr">
        <is>
          <t>待评估</t>
        </is>
      </c>
      <c r="N173" s="25" t="inlineStr">
        <is>
          <t>程序预算</t>
        </is>
      </c>
      <c r="O173" s="24" t="inlineStr">
        <is>
          <t>加载后关联稳定，重复请求与中断不重复提取。</t>
        </is>
      </c>
      <c r="P173" s="25" t="inlineStr">
        <is>
          <t>未开始</t>
        </is>
      </c>
      <c r="Q173" s="34" t="n"/>
      <c r="R173" s="24" t="inlineStr">
        <is>
          <t>2026-09-10按b07补登记；工时待评估，未启动开发。</t>
        </is>
      </c>
    </row>
    <row r="174" ht="72" customHeight="1" s="1">
      <c r="A174" s="24" t="inlineStr">
        <is>
          <t>P6-015</t>
        </is>
      </c>
      <c r="B174" s="24" t="inlineStr">
        <is>
          <t>阶段6 建造制造成长</t>
        </is>
      </c>
      <c r="C174" s="24" t="inlineStr">
        <is>
          <t>G6 发展流程闭环</t>
        </is>
      </c>
      <c r="D174" s="24" t="inlineStr">
        <is>
          <t>客户端程序</t>
        </is>
      </c>
      <c r="E174" s="24" t="inlineStr">
        <is>
          <t>传送带建造</t>
        </is>
      </c>
      <c r="F174" s="24" t="inlineStr">
        <is>
          <t>接入传送带通用建筑施工</t>
        </is>
      </c>
      <c r="G174" s="24" t="inlineStr">
        <is>
          <t>按b07接入玩家建造与通用施工，不扩张复杂分拣或管线；阶段4不反向依赖此项。</t>
        </is>
      </c>
      <c r="H174" s="25" t="inlineStr">
        <is>
          <t>P0</t>
        </is>
      </c>
      <c r="I174" s="24" t="inlineStr">
        <is>
          <t>P6-001,P4-019</t>
        </is>
      </c>
      <c r="J174" s="25" t="inlineStr">
        <is>
          <t>A6</t>
        </is>
      </c>
      <c r="K174" s="26" t="n"/>
      <c r="L174" s="26" t="n"/>
      <c r="M174" s="25" t="inlineStr">
        <is>
          <t>待评估</t>
        </is>
      </c>
      <c r="N174" s="25" t="inlineStr">
        <is>
          <t>程序预算</t>
        </is>
      </c>
      <c r="O174" s="24" t="inlineStr">
        <is>
          <t>建造完成接入合法传送带实例，取消与存档不留孤立货物归属。</t>
        </is>
      </c>
      <c r="P174" s="25" t="inlineStr">
        <is>
          <t>未开始</t>
        </is>
      </c>
      <c r="Q174" s="34" t="n"/>
      <c r="R174" s="24" t="inlineStr">
        <is>
          <t>2026-09-10按b07补登记；工时待评估，未启动开发。</t>
        </is>
      </c>
    </row>
  </sheetData>
  <conditionalFormatting sqref="L2:L133">
    <cfRule type="colorScale" priority="1">
      <colorScale>
        <cfvo type="min"/>
        <cfvo type="percentile" val="50"/>
        <cfvo type="max"/>
        <color rgb="FFE2F0D9"/>
        <color rgb="FFFFF2CC"/>
        <color rgb="FFF4B084"/>
      </colorScale>
    </cfRule>
  </conditionalFormatting>
  <dataValidations count="1">
    <dataValidation sqref="P2:P174" showDropDown="0" showInputMessage="0" showErrorMessage="0" allowBlank="0" type="list">
      <formula1>"未开始,进行中,已完成,已阻塞,已取消"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ColWidth="9" defaultRowHeight="15"/>
  <cols>
    <col width="22" customWidth="1" style="1" min="1" max="2"/>
    <col width="14" customWidth="1" style="1" min="3" max="6"/>
    <col width="74" customWidth="1" style="1" min="7" max="7"/>
  </cols>
  <sheetData>
    <row r="1" ht="28" customHeight="1" s="1">
      <c r="A1" s="4" t="inlineStr">
        <is>
          <t>阶段</t>
        </is>
      </c>
      <c r="B1" s="5" t="inlineStr">
        <is>
          <t>里程碑</t>
        </is>
      </c>
      <c r="C1" s="5" t="inlineStr">
        <is>
          <t>任务数</t>
        </is>
      </c>
      <c r="D1" s="5" t="inlineStr">
        <is>
          <t>最低工时</t>
        </is>
      </c>
      <c r="E1" s="5" t="inlineStr">
        <is>
          <t>最高工时</t>
        </is>
      </c>
      <c r="F1" s="5" t="inlineStr">
        <is>
          <t>阶段验收任务</t>
        </is>
      </c>
      <c r="G1" s="6" t="inlineStr">
        <is>
          <t>通过条件</t>
        </is>
      </c>
    </row>
    <row r="2" ht="24.75" customHeight="1" s="1">
      <c r="A2" s="7" t="inlineStr">
        <is>
          <t>阶段0 工程准备</t>
        </is>
      </c>
      <c r="B2" s="7" t="inlineStr">
        <is>
          <t>G0 工程基线</t>
        </is>
      </c>
      <c r="C2" s="7">
        <f>COUNTIF(开发任务!$B$2:$B$174,A2)</f>
        <v/>
      </c>
      <c r="D2" s="7">
        <f>SUMIF(开发任务!$B$2:$B$174,A2,开发任务!$K$2:$K$174)</f>
        <v/>
      </c>
      <c r="E2" s="7">
        <f>SUMIF(开发任务!$B$2:$B$174,A2,开发任务!$L$2:$L$174)</f>
        <v/>
      </c>
      <c r="F2" s="7" t="inlineStr">
        <is>
          <t>G0-001</t>
        </is>
      </c>
      <c r="G2" s="7" t="inlineStr">
        <is>
          <t>从Launch进入空业务场景，输入与UI正常，实体可加载，项目表无阻塞错误且未改框架核心。</t>
        </is>
      </c>
    </row>
    <row r="3">
      <c r="A3" s="8" t="inlineStr">
        <is>
          <t>阶段1 世界与对象</t>
        </is>
      </c>
      <c r="B3" s="8" t="inlineStr">
        <is>
          <t>G1 可交互世界</t>
        </is>
      </c>
      <c r="C3" s="8">
        <f>COUNTIF(开发任务!$B$2:$B$174,A3)</f>
        <v/>
      </c>
      <c r="D3" s="8">
        <f>SUMIF(开发任务!$B$2:$B$174,A3,开发任务!$K$2:$K$174)</f>
        <v/>
      </c>
      <c r="E3" s="8">
        <f>SUMIF(开发任务!$B$2:$B$174,A3,开发任务!$L$2:$L$174)</f>
        <v/>
      </c>
      <c r="F3" s="8" t="inlineStr">
        <is>
          <t>G1-001</t>
        </is>
      </c>
      <c r="G3" s="8" t="inlineStr">
        <is>
          <t>玩家能在初始区域选择三类对象、查看现场信息并预览合法建造位置。</t>
        </is>
      </c>
    </row>
    <row r="4">
      <c r="A4" s="8" t="inlineStr">
        <is>
          <t>阶段2 机器运行</t>
        </is>
      </c>
      <c r="B4" s="8" t="inlineStr">
        <is>
          <t>G2 机器可运行</t>
        </is>
      </c>
      <c r="C4" s="8">
        <f>COUNTIF(开发任务!$B$2:$B$174,A4)</f>
        <v/>
      </c>
      <c r="D4" s="8">
        <f>SUMIF(开发任务!$B$2:$B$174,A4,开发任务!$K$2:$K$174)</f>
        <v/>
      </c>
      <c r="E4" s="8">
        <f>SUMIF(开发任务!$B$2:$B$174,A4,开发任务!$L$2:$L$174)</f>
        <v/>
      </c>
      <c r="F4" s="8" t="inlineStr">
        <is>
          <t>G2-001</t>
        </is>
      </c>
      <c r="G4" s="8" t="inlineStr">
        <is>
          <t>一台轮式机器可合法组装、激活、移动到作业点并在中枢显示可诊断状态。</t>
        </is>
      </c>
    </row>
    <row r="5">
      <c r="A5" s="8" t="inlineStr">
        <is>
          <t>阶段3 算法系统</t>
        </is>
      </c>
      <c r="B5" s="8" t="inlineStr">
        <is>
          <t>G3 自动化可配置</t>
        </is>
      </c>
      <c r="C5" s="8">
        <f>COUNTIF(开发任务!$B$2:$B$174,A5)</f>
        <v/>
      </c>
      <c r="D5" s="8">
        <f>SUMIF(开发任务!$B$2:$B$174,A5,开发任务!$K$2:$K$174)</f>
        <v/>
      </c>
      <c r="E5" s="8">
        <f>SUMIF(开发任务!$B$2:$B$174,A5,开发任务!$L$2:$L$174)</f>
        <v/>
      </c>
      <c r="F5" s="8" t="inlineStr">
        <is>
          <t>G3-001</t>
        </is>
      </c>
      <c r="G5" s="8" t="inlineStr">
        <is>
          <t>玩家能从算法库应用模板，使机器产生可追踪任务，并安全修改参数。</t>
        </is>
      </c>
    </row>
    <row r="6">
      <c r="A6" s="8" t="inlineStr">
        <is>
          <t>阶段4 生产物流</t>
        </is>
      </c>
      <c r="B6" s="8" t="inlineStr">
        <is>
          <t>G4 基础生产闭环</t>
        </is>
      </c>
      <c r="C6" s="8">
        <f>COUNTIF(开发任务!$B$2:$B$174,A6)</f>
        <v/>
      </c>
      <c r="D6" s="8">
        <f>SUMIF(开发任务!$B$2:$B$174,A6,开发任务!$K$2:$K$174)</f>
        <v/>
      </c>
      <c r="E6" s="8">
        <f>SUMIF(开发任务!$B$2:$B$174,A6,开发任务!$L$2:$L$174)</f>
        <v/>
      </c>
      <c r="F6" s="8" t="inlineStr">
        <is>
          <t>G4-001</t>
        </is>
      </c>
      <c r="G6" s="8" t="inlineStr">
        <is>
          <t>至少两类资源点可由机器自主生产、运输并正确入库，阻塞可诊断恢复。</t>
        </is>
      </c>
    </row>
    <row r="7">
      <c r="A7" s="8" t="inlineStr">
        <is>
          <t>阶段5 经济能源</t>
        </is>
      </c>
      <c r="B7" s="8" t="inlineStr">
        <is>
          <t>G5 可持续经营</t>
        </is>
      </c>
      <c r="C7" s="8">
        <f>COUNTIF(开发任务!$B$2:$B$174,A7)</f>
        <v/>
      </c>
      <c r="D7" s="8">
        <f>SUMIF(开发任务!$B$2:$B$174,A7,开发任务!$K$2:$K$174)</f>
        <v/>
      </c>
      <c r="E7" s="8">
        <f>SUMIF(开发任务!$B$2:$B$174,A7,开发任务!$L$2:$L$174)</f>
        <v/>
      </c>
      <c r="F7" s="8" t="inlineStr">
        <is>
          <t>G5-001</t>
        </is>
      </c>
      <c r="G7" s="8" t="inlineStr">
        <is>
          <t>玩家可从生产获得资源，消费扩张，并从完全无燃料状态恢复最低生产。</t>
        </is>
      </c>
    </row>
    <row r="8">
      <c r="A8" s="8" t="inlineStr">
        <is>
          <t>阶段6 建造制造成长</t>
        </is>
      </c>
      <c r="B8" s="8" t="inlineStr">
        <is>
          <t>G6 发展流程闭环</t>
        </is>
      </c>
      <c r="C8" s="8">
        <f>COUNTIF(开发任务!$B$2:$B$174,A8)</f>
        <v/>
      </c>
      <c r="D8" s="8">
        <f>SUMIF(开发任务!$B$2:$B$174,A8,开发任务!$K$2:$K$174)</f>
        <v/>
      </c>
      <c r="E8" s="8">
        <f>SUMIF(开发任务!$B$2:$B$174,A8,开发任务!$L$2:$L$174)</f>
        <v/>
      </c>
      <c r="F8" s="8" t="inlineStr">
        <is>
          <t>G6-001</t>
        </is>
      </c>
      <c r="G8" s="8" t="inlineStr">
        <is>
          <t>玩家能从中枢2级完成蓄电与制造教学，并在有效负载下完成供电扩张。</t>
        </is>
      </c>
    </row>
    <row r="9">
      <c r="A9" s="8" t="inlineStr">
        <is>
          <t>阶段7 存档离线</t>
        </is>
      </c>
      <c r="B9" s="8" t="inlineStr">
        <is>
          <t>G7 状态可持续</t>
        </is>
      </c>
      <c r="C9" s="8">
        <f>COUNTIF(开发任务!$B$2:$B$174,A9)</f>
        <v/>
      </c>
      <c r="D9" s="8">
        <f>SUMIF(开发任务!$B$2:$B$174,A9,开发任务!$K$2:$K$174)</f>
        <v/>
      </c>
      <c r="E9" s="8">
        <f>SUMIF(开发任务!$B$2:$B$174,A9,开发任务!$L$2:$L$174)</f>
        <v/>
      </c>
      <c r="F9" s="8" t="inlineStr">
        <is>
          <t>G7-001</t>
        </is>
      </c>
      <c r="G9" s="8" t="inlineStr">
        <is>
          <t>从生产运行中退出再进入，在线与离线结果守恒且无重复奖励／动作。</t>
        </is>
      </c>
    </row>
    <row r="10">
      <c r="A10" s="8" t="inlineStr">
        <is>
          <t>阶段8 引导与版本终点</t>
        </is>
      </c>
      <c r="B10" s="8" t="inlineStr">
        <is>
          <t>G8 第一版完成</t>
        </is>
      </c>
      <c r="C10" s="8">
        <f>COUNTIF(开发任务!$B$2:$B$174,A10)</f>
        <v/>
      </c>
      <c r="D10" s="8">
        <f>SUMIF(开发任务!$B$2:$B$174,A10,开发任务!$K$2:$K$174)</f>
        <v/>
      </c>
      <c r="E10" s="8">
        <f>SUMIF(开发任务!$B$2:$B$174,A10,开发任务!$L$2:$L$174)</f>
        <v/>
      </c>
      <c r="F10" s="8" t="inlineStr">
        <is>
          <t>G8-001</t>
        </is>
      </c>
      <c r="G10" s="8" t="inlineStr">
        <is>
          <t>第一版能够独立运行并由玩家读懂，正式美术通过集成验收，完成探索准备后明确结束。</t>
        </is>
      </c>
    </row>
    <row r="11" ht="24" customHeight="1" s="1">
      <c r="A11" s="8" t="inlineStr">
        <is>
          <t>并行美术0 视觉预研</t>
        </is>
      </c>
      <c r="B11" s="8" t="inlineStr">
        <is>
          <t>ART-G0 视觉基线</t>
        </is>
      </c>
      <c r="C11" s="8">
        <f>COUNTIF(开发任务!$B$2:$B$174,A11)</f>
        <v/>
      </c>
      <c r="D11" s="8">
        <f>SUMIF(开发任务!$B$2:$B$174,A11,开发任务!$K$2:$K$174)</f>
        <v/>
      </c>
      <c r="E11" s="8">
        <f>SUMIF(开发任务!$B$2:$B$174,A11,开发任务!$L$2:$L$174)</f>
        <v/>
      </c>
      <c r="F11" s="8" t="inlineStr">
        <is>
          <t>ART-G0-001</t>
        </is>
      </c>
      <c r="G11" s="8" t="inlineStr">
        <is>
          <t>风格、实现路线和主工程导入接口已确认，后续资源可分专业并行生产且不需要推翻技术路线。</t>
        </is>
      </c>
    </row>
    <row r="12">
      <c r="A12" s="8" t="inlineStr">
        <is>
          <t>并行美术1 资源制作</t>
        </is>
      </c>
      <c r="B12" s="8" t="inlineStr">
        <is>
          <t>ART-G1 资源包完成</t>
        </is>
      </c>
      <c r="C12" s="8">
        <f>COUNTIF(开发任务!$B$2:$B$174,A12)</f>
        <v/>
      </c>
      <c r="D12" s="8">
        <f>SUMIF(开发任务!$B$2:$B$174,A12,开发任务!$K$2:$K$174)</f>
        <v/>
      </c>
      <c r="E12" s="8">
        <f>SUMIF(开发任务!$B$2:$B$174,A12,开发任务!$L$2:$L$174)</f>
        <v/>
      </c>
      <c r="F12" s="8" t="inlineStr">
        <is>
          <t>ART-G1-001</t>
        </is>
      </c>
      <c r="G12" s="8" t="inlineStr">
        <is>
          <t>全部第一版资源通过专业验收，可按版本化导出包导入主工程。</t>
        </is>
      </c>
    </row>
    <row r="13">
      <c r="A13" s="8" t="inlineStr">
        <is>
          <t>并行美术2 导入验收</t>
        </is>
      </c>
      <c r="B13" s="8" t="inlineStr">
        <is>
          <t>ART-G2 美术集成完成</t>
        </is>
      </c>
      <c r="C13" s="8">
        <f>COUNTIF(开发任务!$B$2:$B$174,A13)</f>
        <v/>
      </c>
      <c r="D13" s="8">
        <f>SUMIF(开发任务!$B$2:$B$174,A13,开发任务!$K$2:$K$174)</f>
        <v/>
      </c>
      <c r="E13" s="8">
        <f>SUMIF(开发任务!$B$2:$B$174,A13,开发任务!$L$2:$L$174)</f>
        <v/>
      </c>
      <c r="F13" s="8" t="inlineStr">
        <is>
          <t>ART-G2-001</t>
        </is>
      </c>
      <c r="G13" s="8" t="inlineStr">
        <is>
          <t>美术资源已导入主工程并通过完整流程验收，独立美术项目仍可继续迭代和重新导出。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ColWidth="9" defaultRowHeight="15"/>
  <cols>
    <col width="24" customWidth="1" style="1" min="1" max="1"/>
    <col width="14" customWidth="1" style="1" min="2" max="5"/>
    <col width="78" customWidth="1" style="1" min="6" max="6"/>
  </cols>
  <sheetData>
    <row r="1" ht="28" customHeight="1" s="1">
      <c r="A1" s="4" t="inlineStr">
        <is>
          <t>工作流</t>
        </is>
      </c>
      <c r="B1" s="5" t="inlineStr">
        <is>
          <t>任务数</t>
        </is>
      </c>
      <c r="C1" s="5" t="inlineStr">
        <is>
          <t>最低工时</t>
        </is>
      </c>
      <c r="D1" s="5" t="inlineStr">
        <is>
          <t>最高工时</t>
        </is>
      </c>
      <c r="E1" s="5" t="inlineStr">
        <is>
          <t>预算分类</t>
        </is>
      </c>
      <c r="F1" s="6" t="inlineStr">
        <is>
          <t>并行安排说明</t>
        </is>
      </c>
    </row>
    <row r="2">
      <c r="A2" s="7" t="inlineStr">
        <is>
          <t>配置与内容</t>
        </is>
      </c>
      <c r="B2" s="7">
        <f>COUNTIF(开发任务!$D$2:$D$174,A2)</f>
        <v/>
      </c>
      <c r="C2" s="7">
        <f>SUMIF(开发任务!$D$2:$D$174,A2,开发任务!$K$2:$K$174)</f>
        <v/>
      </c>
      <c r="D2" s="7">
        <f>SUMIF(开发任务!$D$2:$D$174,A2,开发任务!$L$2:$L$174)</f>
        <v/>
      </c>
      <c r="E2" s="7" t="inlineStr">
        <is>
          <t>程序预算</t>
        </is>
      </c>
      <c r="F2" s="7" t="inlineStr">
        <is>
          <t>满足前置依赖后，可与同阶段其他工作流并行；同一并行组用于识别建议批次。</t>
        </is>
      </c>
    </row>
    <row r="3">
      <c r="A3" s="8" t="inlineStr">
        <is>
          <t>客户端程序</t>
        </is>
      </c>
      <c r="B3" s="8">
        <f>COUNTIF(开发任务!$D$2:$D$174,A3)</f>
        <v/>
      </c>
      <c r="C3" s="8">
        <f>SUMIF(开发任务!$D$2:$D$174,A3,开发任务!$K$2:$K$174)</f>
        <v/>
      </c>
      <c r="D3" s="8">
        <f>SUMIF(开发任务!$D$2:$D$174,A3,开发任务!$L$2:$L$174)</f>
        <v/>
      </c>
      <c r="E3" s="8" t="inlineStr">
        <is>
          <t>程序预算</t>
        </is>
      </c>
      <c r="F3" s="8" t="inlineStr">
        <is>
          <t>满足前置依赖后，可与同阶段其他工作流并行；同一并行组用于识别建议批次。</t>
        </is>
      </c>
    </row>
    <row r="4">
      <c r="A4" s="8" t="inlineStr">
        <is>
          <t>UI与交互</t>
        </is>
      </c>
      <c r="B4" s="8">
        <f>COUNTIF(开发任务!$D$2:$D$174,A4)</f>
        <v/>
      </c>
      <c r="C4" s="8">
        <f>SUMIF(开发任务!$D$2:$D$174,A4,开发任务!$K$2:$K$174)</f>
        <v/>
      </c>
      <c r="D4" s="8">
        <f>SUMIF(开发任务!$D$2:$D$174,A4,开发任务!$L$2:$L$174)</f>
        <v/>
      </c>
      <c r="E4" s="8" t="inlineStr">
        <is>
          <t>程序预算</t>
        </is>
      </c>
      <c r="F4" s="8" t="inlineStr">
        <is>
          <t>满足前置依赖后，可与同阶段其他工作流并行；同一并行组用于识别建议批次。</t>
        </is>
      </c>
    </row>
    <row r="5" ht="24" customHeight="1" s="1">
      <c r="A5" s="8" t="inlineStr">
        <is>
          <t>灰盒与预制体</t>
        </is>
      </c>
      <c r="B5" s="8">
        <f>COUNTIF(开发任务!$D$2:$D$174,A5)</f>
        <v/>
      </c>
      <c r="C5" s="8">
        <f>SUMIF(开发任务!$D$2:$D$174,A5,开发任务!$K$2:$K$174)</f>
        <v/>
      </c>
      <c r="D5" s="8">
        <f>SUMIF(开发任务!$D$2:$D$174,A5,开发任务!$L$2:$L$174)</f>
        <v/>
      </c>
      <c r="E5" s="8" t="inlineStr">
        <is>
          <t>美术资源预算</t>
        </is>
      </c>
      <c r="F5" s="8" t="inlineStr">
        <is>
          <t>可在独立美术项目中按并行组推进；代表性贯通通过后批量生产，资源完成后分批导入主工程。</t>
        </is>
      </c>
    </row>
    <row r="6">
      <c r="A6" s="8" t="inlineStr">
        <is>
          <t>集成与阶段验收</t>
        </is>
      </c>
      <c r="B6" s="8">
        <f>COUNTIF(开发任务!$D$2:$D$174,A6)</f>
        <v/>
      </c>
      <c r="C6" s="8">
        <f>SUMIF(开发任务!$D$2:$D$174,A6,开发任务!$K$2:$K$174)</f>
        <v/>
      </c>
      <c r="D6" s="8">
        <f>SUMIF(开发任务!$D$2:$D$174,A6,开发任务!$L$2:$L$174)</f>
        <v/>
      </c>
      <c r="E6" s="8" t="inlineStr">
        <is>
          <t>程序预算</t>
        </is>
      </c>
      <c r="F6" s="8" t="inlineStr">
        <is>
          <t>满足前置依赖后，可与同阶段其他工作流并行；同一并行组用于识别建议批次。</t>
        </is>
      </c>
    </row>
    <row r="7" ht="24" customHeight="1" s="1">
      <c r="A7" s="8" t="inlineStr">
        <is>
          <t>技术美术与特效</t>
        </is>
      </c>
      <c r="B7" s="8">
        <f>COUNTIF(开发任务!$D$2:$D$174,A7)</f>
        <v/>
      </c>
      <c r="C7" s="8">
        <f>SUMIF(开发任务!$D$2:$D$174,A7,开发任务!$K$2:$K$174)</f>
        <v/>
      </c>
      <c r="D7" s="8">
        <f>SUMIF(开发任务!$D$2:$D$174,A7,开发任务!$L$2:$L$174)</f>
        <v/>
      </c>
      <c r="E7" s="8" t="inlineStr">
        <is>
          <t>美术资源预算</t>
        </is>
      </c>
      <c r="F7" s="8" t="inlineStr">
        <is>
          <t>可在独立美术项目中按并行组推进；代表性贯通通过后批量生产，资源完成后分批导入主工程。</t>
        </is>
      </c>
    </row>
    <row r="8" ht="24" customHeight="1" s="1">
      <c r="A8" s="8" t="inlineStr">
        <is>
          <t>美术与声音资源</t>
        </is>
      </c>
      <c r="B8" s="8">
        <f>COUNTIF(开发任务!$D$2:$D$174,A8)</f>
        <v/>
      </c>
      <c r="C8" s="8">
        <f>SUMIF(开发任务!$D$2:$D$174,A8,开发任务!$K$2:$K$174)</f>
        <v/>
      </c>
      <c r="D8" s="8">
        <f>SUMIF(开发任务!$D$2:$D$174,A8,开发任务!$L$2:$L$174)</f>
        <v/>
      </c>
      <c r="E8" s="8" t="inlineStr">
        <is>
          <t>美术资源预算</t>
        </is>
      </c>
      <c r="F8" s="8" t="inlineStr">
        <is>
          <t>可在独立美术项目中按并行组推进；代表性贯通通过后批量生产，资源完成后分批导入主工程。</t>
        </is>
      </c>
    </row>
    <row r="9" ht="24" customHeight="1" s="1">
      <c r="A9" s="8" t="inlineStr">
        <is>
          <t>美术方向与规范</t>
        </is>
      </c>
      <c r="B9" s="8">
        <f>COUNTIF(开发任务!$D$2:$D$174,A9)</f>
        <v/>
      </c>
      <c r="C9" s="8">
        <f>SUMIF(开发任务!$D$2:$D$174,A9,开发任务!$K$2:$K$174)</f>
        <v/>
      </c>
      <c r="D9" s="8">
        <f>SUMIF(开发任务!$D$2:$D$174,A9,开发任务!$L$2:$L$174)</f>
        <v/>
      </c>
      <c r="E9" s="8" t="inlineStr">
        <is>
          <t>美术资源预算</t>
        </is>
      </c>
      <c r="F9" s="8" t="inlineStr">
        <is>
          <t>可在独立美术项目中按并行组推进；代表性贯通通过后批量生产，资源完成后分批导入主工程。</t>
        </is>
      </c>
    </row>
    <row r="10" ht="24" customHeight="1" s="1">
      <c r="A10" s="8" t="inlineStr">
        <is>
          <t>场景与环境美术</t>
        </is>
      </c>
      <c r="B10" s="8">
        <f>COUNTIF(开发任务!$D$2:$D$174,A10)</f>
        <v/>
      </c>
      <c r="C10" s="8">
        <f>SUMIF(开发任务!$D$2:$D$174,A10,开发任务!$K$2:$K$174)</f>
        <v/>
      </c>
      <c r="D10" s="8">
        <f>SUMIF(开发任务!$D$2:$D$174,A10,开发任务!$L$2:$L$174)</f>
        <v/>
      </c>
      <c r="E10" s="8" t="inlineStr">
        <is>
          <t>美术资源预算</t>
        </is>
      </c>
      <c r="F10" s="8" t="inlineStr">
        <is>
          <t>可在独立美术项目中按并行组推进；代表性贯通通过后批量生产，资源完成后分批导入主工程。</t>
        </is>
      </c>
    </row>
    <row r="11" ht="24" customHeight="1" s="1">
      <c r="A11" s="8" t="inlineStr">
        <is>
          <t>3D资产与材质</t>
        </is>
      </c>
      <c r="B11" s="8">
        <f>COUNTIF(开发任务!$D$2:$D$174,A11)</f>
        <v/>
      </c>
      <c r="C11" s="8">
        <f>SUMIF(开发任务!$D$2:$D$174,A11,开发任务!$K$2:$K$174)</f>
        <v/>
      </c>
      <c r="D11" s="8">
        <f>SUMIF(开发任务!$D$2:$D$174,A11,开发任务!$L$2:$L$174)</f>
        <v/>
      </c>
      <c r="E11" s="8" t="inlineStr">
        <is>
          <t>美术资源预算</t>
        </is>
      </c>
      <c r="F11" s="8" t="inlineStr">
        <is>
          <t>可在独立美术项目中按并行组推进；代表性贯通通过后批量生产，资源完成后分批导入主工程。</t>
        </is>
      </c>
    </row>
    <row r="12" ht="24" customHeight="1" s="1">
      <c r="A12" s="8" t="inlineStr">
        <is>
          <t>动画与交互动效</t>
        </is>
      </c>
      <c r="B12" s="8">
        <f>COUNTIF(开发任务!$D$2:$D$174,A12)</f>
        <v/>
      </c>
      <c r="C12" s="8">
        <f>SUMIF(开发任务!$D$2:$D$174,A12,开发任务!$K$2:$K$174)</f>
        <v/>
      </c>
      <c r="D12" s="8">
        <f>SUMIF(开发任务!$D$2:$D$174,A12,开发任务!$L$2:$L$174)</f>
        <v/>
      </c>
      <c r="E12" s="8" t="inlineStr">
        <is>
          <t>美术资源预算</t>
        </is>
      </c>
      <c r="F12" s="8" t="inlineStr">
        <is>
          <t>可在独立美术项目中按并行组推进；代表性贯通通过后批量生产，资源完成后分批导入主工程。</t>
        </is>
      </c>
    </row>
    <row r="13" ht="24" customHeight="1" s="1">
      <c r="A13" s="8" t="inlineStr">
        <is>
          <t>UI视觉与图标</t>
        </is>
      </c>
      <c r="B13" s="8">
        <f>COUNTIF(开发任务!$D$2:$D$174,A13)</f>
        <v/>
      </c>
      <c r="C13" s="8">
        <f>SUMIF(开发任务!$D$2:$D$174,A13,开发任务!$K$2:$K$174)</f>
        <v/>
      </c>
      <c r="D13" s="8">
        <f>SUMIF(开发任务!$D$2:$D$174,A13,开发任务!$L$2:$L$174)</f>
        <v/>
      </c>
      <c r="E13" s="8" t="inlineStr">
        <is>
          <t>美术资源预算</t>
        </is>
      </c>
      <c r="F13" s="8" t="inlineStr">
        <is>
          <t>可在独立美术项目中按并行组推进；代表性贯通通过后批量生产，资源完成后分批导入主工程。</t>
        </is>
      </c>
    </row>
    <row r="14" ht="24" customHeight="1" s="1">
      <c r="A14" s="8" t="inlineStr">
        <is>
          <t>美术集成与验收</t>
        </is>
      </c>
      <c r="B14" s="8">
        <f>COUNTIF(开发任务!$D$2:$D$174,A14)</f>
        <v/>
      </c>
      <c r="C14" s="8">
        <f>SUMIF(开发任务!$D$2:$D$174,A14,开发任务!$K$2:$K$174)</f>
        <v/>
      </c>
      <c r="D14" s="8">
        <f>SUMIF(开发任务!$D$2:$D$174,A14,开发任务!$L$2:$L$174)</f>
        <v/>
      </c>
      <c r="E14" s="8" t="inlineStr">
        <is>
          <t>美术资源预算</t>
        </is>
      </c>
      <c r="F14" s="8" t="inlineStr">
        <is>
          <t>可在独立美术项目中按并行组推进；代表性贯通通过后批量生产，资源完成后分批导入主工程。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:F1"/>
    </sheetView>
  </sheetViews>
  <sheetFormatPr baseColWidth="8" defaultColWidth="9" defaultRowHeight="15"/>
  <cols>
    <col width="26" customWidth="1" style="1" min="1" max="1"/>
    <col width="18" customWidth="1" style="1" min="2" max="3"/>
    <col width="46" customWidth="1" style="1" min="4" max="4"/>
    <col width="16" customWidth="1" style="1" min="5" max="5"/>
    <col width="38" customWidth="1" style="1" min="6" max="6"/>
  </cols>
  <sheetData>
    <row r="1" ht="32" customHeight="1" s="1">
      <c r="A1" s="10" t="inlineStr">
        <is>
          <t>《星际拓荒：自动纪元》第一版开发任务统计</t>
        </is>
      </c>
    </row>
    <row r="2" ht="34" customHeight="1" s="1">
      <c r="A2" s="3" t="inlineStr">
        <is>
          <t>当前项目：D:\unity\UnityProject\stellar-frontier-auto-era；框架来源：AI-Friendly-Project；工时为区间估算。</t>
        </is>
      </c>
    </row>
    <row r="3">
      <c r="A3" s="11" t="inlineStr">
        <is>
          <t>指标</t>
        </is>
      </c>
      <c r="B3" s="11" t="inlineStr">
        <is>
          <t>数量/最低</t>
        </is>
      </c>
      <c r="C3" s="11" t="inlineStr">
        <is>
          <t>最高</t>
        </is>
      </c>
      <c r="D3" s="11" t="inlineStr">
        <is>
          <t>说明</t>
        </is>
      </c>
      <c r="E3" s="11" t="inlineStr">
        <is>
          <t>校验状态</t>
        </is>
      </c>
      <c r="F3" s="11" t="inlineStr">
        <is>
          <t>备注</t>
        </is>
      </c>
    </row>
    <row r="4">
      <c r="A4" s="12" t="inlineStr">
        <is>
          <t>全部任务</t>
        </is>
      </c>
      <c r="B4" s="7">
        <f>COUNTA(开发任务!$A$2:$A$174)</f>
        <v/>
      </c>
      <c r="C4" s="7" t="n"/>
      <c r="D4" s="7" t="inlineStr">
        <is>
          <t>所有任务均有简短完成定义</t>
        </is>
      </c>
      <c r="E4" s="13" t="inlineStr">
        <is>
          <t>通过</t>
        </is>
      </c>
      <c r="F4" s="7" t="n"/>
    </row>
    <row r="5">
      <c r="A5" s="14" t="inlineStr">
        <is>
          <t>程序预算（小时）</t>
        </is>
      </c>
      <c r="B5" s="8">
        <f>SUMIF(开发任务!$N$2:$N$174,"程序预算",开发任务!$K$2:$K$174)</f>
        <v/>
      </c>
      <c r="C5" s="8">
        <f>SUMIF(开发任务!$N$2:$N$174,"程序预算",开发任务!$L$2:$L$174)</f>
        <v/>
      </c>
      <c r="D5" s="8">
        <f>COUNTIF(开发任务!$N$2:$N$174,"程序预算")&amp;"项"</f>
        <v/>
      </c>
      <c r="E5" s="15" t="inlineStr">
        <is>
          <t>通过</t>
        </is>
      </c>
      <c r="F5" s="8" t="n"/>
    </row>
    <row r="6">
      <c r="A6" s="14" t="inlineStr">
        <is>
          <t>美术资源预算（小时）</t>
        </is>
      </c>
      <c r="B6" s="8">
        <f>SUMIF(开发任务!$N$2:$N$174,"美术资源预算",开发任务!$K$2:$K$174)</f>
        <v/>
      </c>
      <c r="C6" s="8">
        <f>SUMIF(开发任务!$N$2:$N$174,"美术资源预算",开发任务!$L$2:$L$174)</f>
        <v/>
      </c>
      <c r="D6" s="8">
        <f>COUNTIF(开发任务!$N$2:$N$174,"美术资源预算")&amp;"项"</f>
        <v/>
      </c>
      <c r="E6" s="15" t="inlineStr">
        <is>
          <t>通过</t>
        </is>
      </c>
      <c r="F6" s="8" t="inlineStr">
        <is>
          <t>包含灰盒、正式资源与独立美术项目</t>
        </is>
      </c>
    </row>
    <row r="7">
      <c r="A7" s="14" t="inlineStr">
        <is>
          <t>合计（小时）</t>
        </is>
      </c>
      <c r="B7" s="8">
        <f>SUM(开发任务!$K$2:$K$174)</f>
        <v/>
      </c>
      <c r="C7" s="8">
        <f>SUM(开发任务!$L$2:$L$174)</f>
        <v/>
      </c>
      <c r="D7" s="8" t="inlineStr">
        <is>
          <t>程序与美术资源合计</t>
        </is>
      </c>
      <c r="E7" s="15" t="inlineStr">
        <is>
          <t>通过</t>
        </is>
      </c>
      <c r="F7" s="8" t="n"/>
    </row>
    <row r="8">
      <c r="A8" s="14" t="inlineStr">
        <is>
          <t>单项工时上限</t>
        </is>
      </c>
      <c r="B8" s="8">
        <f>MAX(开发任务!$L$2:$L$174)</f>
        <v/>
      </c>
      <c r="C8" s="8" t="n">
        <v>18</v>
      </c>
      <c r="D8" s="8" t="inlineStr">
        <is>
          <t>任何任务最高估算不得超过18小时</t>
        </is>
      </c>
      <c r="E8" s="15" t="inlineStr">
        <is>
          <t>通过</t>
        </is>
      </c>
      <c r="F8" s="8" t="n"/>
    </row>
    <row r="9">
      <c r="A9" s="14" t="inlineStr">
        <is>
          <t>依赖图</t>
        </is>
      </c>
      <c r="B9" s="8" t="inlineStr">
        <is>
          <t>无缺失依赖</t>
        </is>
      </c>
      <c r="C9" s="8" t="inlineStr">
        <is>
          <t>无循环</t>
        </is>
      </c>
      <c r="D9" s="8" t="inlineStr">
        <is>
          <t>任务开始前仍需确认前置任务状态</t>
        </is>
      </c>
      <c r="E9" s="15" t="inlineStr">
        <is>
          <t>通过</t>
        </is>
      </c>
      <c r="F9" s="8" t="n"/>
    </row>
  </sheetData>
  <mergeCells count="2">
    <mergeCell ref="A2:F2"/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ColWidth="9" defaultRowHeight="15"/>
  <cols>
    <col width="12" customWidth="1" style="1" min="1" max="1"/>
    <col width="38" customWidth="1" style="1" min="2" max="2"/>
    <col width="30" customWidth="1" style="1" min="3" max="3"/>
    <col width="72" customWidth="1" style="1" min="4" max="4"/>
    <col width="16" customWidth="1" style="1" min="5" max="5"/>
  </cols>
  <sheetData>
    <row r="1" ht="28" customHeight="1" s="1">
      <c r="A1" s="4" t="inlineStr">
        <is>
          <t>风险ID</t>
        </is>
      </c>
      <c r="B1" s="5" t="inlineStr">
        <is>
          <t>风险</t>
        </is>
      </c>
      <c r="C1" s="5" t="inlineStr">
        <is>
          <t>影响</t>
        </is>
      </c>
      <c r="D1" s="5" t="inlineStr">
        <is>
          <t>应对措施</t>
        </is>
      </c>
      <c r="E1" s="6" t="inlineStr">
        <is>
          <t>检查节点</t>
        </is>
      </c>
    </row>
    <row r="2">
      <c r="A2" s="7" t="inlineStr">
        <is>
          <t>R-001</t>
        </is>
      </c>
      <c r="B2" s="7" t="inlineStr">
        <is>
          <t>节点算法系统规模与交互复杂度被低估</t>
        </is>
      </c>
      <c r="C2" s="7" t="inlineStr">
        <is>
          <t>关键路径延期</t>
        </is>
      </c>
      <c r="D2" s="7" t="inlineStr">
        <is>
          <t>先完成最小节点集合、运行时、诊断，再扩展模板与表现。</t>
        </is>
      </c>
      <c r="E2" s="7" t="inlineStr">
        <is>
          <t>G3</t>
        </is>
      </c>
    </row>
    <row r="3">
      <c r="A3" s="8" t="inlineStr">
        <is>
          <t>R-002</t>
        </is>
      </c>
      <c r="B3" s="8" t="inlineStr">
        <is>
          <t>在线与离线推进结果不一致</t>
        </is>
      </c>
      <c r="C3" s="8" t="inlineStr">
        <is>
          <t>存档污染、资源异常</t>
        </is>
      </c>
      <c r="D3" s="8" t="inlineStr">
        <is>
          <t>共用确定性时间与结算入口，离线只做批量推进。</t>
        </is>
      </c>
      <c r="E3" s="8" t="inlineStr">
        <is>
          <t>G7</t>
        </is>
      </c>
    </row>
    <row r="4">
      <c r="A4" s="8" t="inlineStr">
        <is>
          <t>R-003</t>
        </is>
      </c>
      <c r="B4" s="8" t="inlineStr">
        <is>
          <t>系统较多导致UI信息过载</t>
        </is>
      </c>
      <c r="C4" s="8" t="inlineStr">
        <is>
          <t>学习成本过高</t>
        </is>
      </c>
      <c r="D4" s="8" t="inlineStr">
        <is>
          <t>规则按钮、分层警报、默认模板和分阶段解锁共同控制信息量。</t>
        </is>
      </c>
      <c r="E4" s="8" t="inlineStr">
        <is>
          <t>G3/G8</t>
        </is>
      </c>
    </row>
    <row r="5">
      <c r="A5" s="8" t="inlineStr">
        <is>
          <t>R-004</t>
        </is>
      </c>
      <c r="B5" s="8" t="inlineStr">
        <is>
          <t>个人开发并行能力有限</t>
        </is>
      </c>
      <c r="C5" s="8" t="inlineStr">
        <is>
          <t>任务切换成本抵消并行收益</t>
        </is>
      </c>
      <c r="D5" s="8" t="inlineStr">
        <is>
          <t>并行表示可独立推进，不要求同时开工；以里程碑关键路径优先。</t>
        </is>
      </c>
      <c r="E5" s="8" t="inlineStr">
        <is>
          <t>每阶段</t>
        </is>
      </c>
    </row>
    <row r="6">
      <c r="A6" s="8" t="inlineStr">
        <is>
          <t>R-005</t>
        </is>
      </c>
      <c r="B6" s="8" t="inlineStr">
        <is>
          <t>正式美术阻塞功能验证</t>
        </is>
      </c>
      <c r="C6" s="8" t="inlineStr">
        <is>
          <t>玩法无法及时验证</t>
        </is>
      </c>
      <c r="D6" s="8" t="inlineStr">
        <is>
          <t>先用灰盒和可替换视觉子对象，正式资源不得改变逻辑根与锚点。</t>
        </is>
      </c>
      <c r="E6" s="8" t="inlineStr">
        <is>
          <t>G1/G8</t>
        </is>
      </c>
    </row>
    <row r="7">
      <c r="A7" s="8" t="inlineStr">
        <is>
          <t>R-006</t>
        </is>
      </c>
      <c r="B7" s="8" t="inlineStr">
        <is>
          <t>框架边界被业务代码侵入</t>
        </is>
      </c>
      <c r="C7" s="8" t="inlineStr">
        <is>
          <t>升级与维护风险</t>
        </is>
      </c>
      <c r="D7" s="8" t="inlineStr">
        <is>
          <t>产品代码限定在项目层，阶段门执行框架纯度审计。</t>
        </is>
      </c>
      <c r="E7" s="8" t="inlineStr">
        <is>
          <t>G0/G8</t>
        </is>
      </c>
    </row>
    <row r="8" ht="24" customHeight="1" s="1">
      <c r="A8" s="8" t="inlineStr">
        <is>
          <t>R-007</t>
        </is>
      </c>
      <c r="B8" s="8" t="inlineStr">
        <is>
          <t>独立美术项目与主工程接口漂移</t>
        </is>
      </c>
      <c r="C8" s="8" t="inlineStr">
        <is>
          <t>返工或导入失败</t>
        </is>
      </c>
      <c r="D8" s="8" t="inlineStr">
        <is>
          <t>先冻结比例、命名、锚点、材质和动作参数合同；每个美术验收门导入一个样例包验证。</t>
        </is>
      </c>
      <c r="E8" s="8" t="inlineStr">
        <is>
          <t>ART-G0/G1</t>
        </is>
      </c>
    </row>
    <row r="9">
      <c r="A9" s="8" t="inlineStr">
        <is>
          <t>R-008</t>
        </is>
      </c>
      <c r="B9" s="8" t="inlineStr">
        <is>
          <t>正式美术过晚导入导致表现问题集中暴露</t>
        </is>
      </c>
      <c r="C9" s="8" t="inlineStr">
        <is>
          <t>版本收口延期</t>
        </is>
      </c>
      <c r="D9" s="8" t="inlineStr">
        <is>
          <t>资源生产保持独立并行，但ART-G1后立即分批导入，不等待所有程序功能完成。</t>
        </is>
      </c>
      <c r="E9" s="8" t="inlineStr">
        <is>
          <t>ART-G1/G2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:F1"/>
    </sheetView>
  </sheetViews>
  <sheetFormatPr baseColWidth="8" defaultColWidth="9" defaultRowHeight="15"/>
  <cols>
    <col width="24" customWidth="1" style="1" min="1" max="1"/>
    <col width="14" customWidth="1" style="1" min="2" max="4"/>
    <col width="28" customWidth="1" style="1" min="5" max="5"/>
    <col width="70" customWidth="1" style="1" min="6" max="6"/>
  </cols>
  <sheetData>
    <row r="1" ht="21" customHeight="1" s="1">
      <c r="A1" s="2" t="inlineStr">
        <is>
          <t>美术独立并行开发路线</t>
        </is>
      </c>
    </row>
    <row r="2">
      <c r="A2" s="3" t="inlineStr">
        <is>
          <t>风格与实现路线先行，并在正式资源批量生产前完成代表性资源贯通验证；资源按场景、机器组件、建筑资源点、动画VFX和UI分批导入主工程。程序灰盒不等待正式美术，G8最终验收必须等待ART-G2。</t>
        </is>
      </c>
    </row>
    <row r="4" ht="27" customHeight="1" s="1">
      <c r="A4" s="4" t="inlineStr">
        <is>
          <t>并行阶段</t>
        </is>
      </c>
      <c r="B4" s="5" t="inlineStr">
        <is>
          <t>主要目标</t>
        </is>
      </c>
      <c r="C4" s="5" t="inlineStr">
        <is>
          <t>是否依赖主工程</t>
        </is>
      </c>
      <c r="D4" s="5" t="inlineStr">
        <is>
          <t>主要交付物</t>
        </is>
      </c>
      <c r="E4" s="5" t="inlineStr">
        <is>
          <t>验收门</t>
        </is>
      </c>
      <c r="F4" s="6" t="inlineStr">
        <is>
          <t>进入下一阶段条件</t>
        </is>
      </c>
    </row>
    <row r="5" ht="56" customHeight="1" s="1">
      <c r="A5" s="7" t="inlineStr">
        <is>
          <t>并行美术0 视觉预研</t>
        </is>
      </c>
      <c r="B5" s="7" t="inlineStr">
        <is>
          <t>确认风格、制作路线、导入规则并完成代表性资源贯通</t>
        </is>
      </c>
      <c r="C5" s="7" t="inlineStr">
        <is>
          <t>只依赖阶段0的框架接入与视觉合同</t>
        </is>
      </c>
      <c r="D5" s="7" t="inlineStr">
        <is>
          <t>Art Bible、场景样片、动作矩阵、导入预设、贯通报告</t>
        </is>
      </c>
      <c r="E5" s="7" t="inlineStr">
        <is>
          <t>ART-G0</t>
        </is>
      </c>
      <c r="F5" s="7" t="inlineStr">
        <is>
          <t>风格、制作路线和主工程接口均通过验证</t>
        </is>
      </c>
    </row>
    <row r="6" ht="56" customHeight="1" s="1">
      <c r="A6" s="8" t="inlineStr">
        <is>
          <t>并行美术1 资源制作</t>
        </is>
      </c>
      <c r="B6" s="8" t="inlineStr">
        <is>
          <t>按专业并行生产场景、模型、动画、VFX和UI资源</t>
        </is>
      </c>
      <c r="C6" s="8" t="inlineStr">
        <is>
          <t>否；独立项目内完成制作和专业验收</t>
        </is>
      </c>
      <c r="D6" s="8" t="inlineStr">
        <is>
          <t>版本化正式美术资源包</t>
        </is>
      </c>
      <c r="E6" s="8" t="inlineStr">
        <is>
          <t>ART-G1</t>
        </is>
      </c>
      <c r="F6" s="8" t="inlineStr">
        <is>
          <t>资源通过Art Bible与技术规格验收；单类完成即可分批导入</t>
        </is>
      </c>
    </row>
    <row r="7" ht="56" customHeight="1" s="1">
      <c r="A7" s="9" t="inlineStr">
        <is>
          <t>并行美术2 导入验收</t>
        </is>
      </c>
      <c r="B7" s="9" t="inlineStr">
        <is>
          <t>按领域分批导入、绑定真实状态并完成性能与一致性收口</t>
        </is>
      </c>
      <c r="C7" s="9" t="inlineStr">
        <is>
          <t>是；各领域只依赖对应主工程接口</t>
        </is>
      </c>
      <c r="D7" s="9" t="inlineStr">
        <is>
          <t>主工程正式资源、绑定结果、性能报告</t>
        </is>
      </c>
      <c r="E7" s="9" t="inlineStr">
        <is>
          <t>ART-G2</t>
        </is>
      </c>
      <c r="F7" s="9" t="inlineStr">
        <is>
          <t>完整流程通过正式美术集成验收</t>
        </is>
      </c>
    </row>
    <row r="9">
      <c r="A9" s="4" t="inlineStr">
        <is>
          <t>工作流</t>
        </is>
      </c>
      <c r="B9" s="5" t="inlineStr">
        <is>
          <t>任务数</t>
        </is>
      </c>
      <c r="C9" s="5" t="inlineStr">
        <is>
          <t>最低工时</t>
        </is>
      </c>
      <c r="D9" s="5" t="inlineStr">
        <is>
          <t>最高工时</t>
        </is>
      </c>
      <c r="E9" s="5" t="inlineStr">
        <is>
          <t>主要并行组</t>
        </is>
      </c>
      <c r="F9" s="6" t="inlineStr">
        <is>
          <t>说明</t>
        </is>
      </c>
    </row>
    <row r="10">
      <c r="A10" s="7" t="inlineStr">
        <is>
          <t>美术方向与规范</t>
        </is>
      </c>
      <c r="B10" s="7">
        <f>COUNTIF(开发任务!$D$2:$D$174,A10)</f>
        <v/>
      </c>
      <c r="C10" s="7">
        <f>SUMIF(开发任务!$D$2:$D$174,A10,开发任务!$K$2:$K$174)</f>
        <v/>
      </c>
      <c r="D10" s="7">
        <f>SUMIF(开发任务!$D$2:$D$174,A10,开发任务!$L$2:$L$174)</f>
        <v/>
      </c>
      <c r="E10" s="7" t="inlineStr">
        <is>
          <t>ART-RND / ART-INT</t>
        </is>
      </c>
      <c r="F10" s="7" t="inlineStr">
        <is>
          <t>满足ART验收门和任务自身依赖后可并行；正式资源按领域完成后立即分批导入。</t>
        </is>
      </c>
    </row>
    <row r="11">
      <c r="A11" s="8" t="inlineStr">
        <is>
          <t>场景与环境美术</t>
        </is>
      </c>
      <c r="B11" s="8">
        <f>COUNTIF(开发任务!$D$2:$D$174,A11)</f>
        <v/>
      </c>
      <c r="C11" s="8">
        <f>SUMIF(开发任务!$D$2:$D$174,A11,开发任务!$K$2:$K$174)</f>
        <v/>
      </c>
      <c r="D11" s="8">
        <f>SUMIF(开发任务!$D$2:$D$174,A11,开发任务!$L$2:$L$174)</f>
        <v/>
      </c>
      <c r="E11" s="8" t="inlineStr">
        <is>
          <t>ART-RND / ART-SCENE / ART-INT</t>
        </is>
      </c>
      <c r="F11" s="8" t="inlineStr">
        <is>
          <t>满足ART验收门和任务自身依赖后可并行；正式资源按领域完成后立即分批导入。</t>
        </is>
      </c>
    </row>
    <row r="12">
      <c r="A12" s="8" t="inlineStr">
        <is>
          <t>3D资产与材质</t>
        </is>
      </c>
      <c r="B12" s="8">
        <f>COUNTIF(开发任务!$D$2:$D$174,A12)</f>
        <v/>
      </c>
      <c r="C12" s="8">
        <f>SUMIF(开发任务!$D$2:$D$174,A12,开发任务!$K$2:$K$174)</f>
        <v/>
      </c>
      <c r="D12" s="8">
        <f>SUMIF(开发任务!$D$2:$D$174,A12,开发任务!$L$2:$L$174)</f>
        <v/>
      </c>
      <c r="E12" s="8" t="inlineStr">
        <is>
          <t>ART-RND / ART-ASSET</t>
        </is>
      </c>
      <c r="F12" s="8" t="inlineStr">
        <is>
          <t>满足ART验收门和任务自身依赖后可并行；正式资源按领域完成后立即分批导入。</t>
        </is>
      </c>
    </row>
    <row r="13">
      <c r="A13" s="8" t="inlineStr">
        <is>
          <t>动画与交互动效</t>
        </is>
      </c>
      <c r="B13" s="8">
        <f>COUNTIF(开发任务!$D$2:$D$174,A13)</f>
        <v/>
      </c>
      <c r="C13" s="8">
        <f>SUMIF(开发任务!$D$2:$D$174,A13,开发任务!$K$2:$K$174)</f>
        <v/>
      </c>
      <c r="D13" s="8">
        <f>SUMIF(开发任务!$D$2:$D$174,A13,开发任务!$L$2:$L$174)</f>
        <v/>
      </c>
      <c r="E13" s="8" t="inlineStr">
        <is>
          <t>ART-RND / ART-MOTION</t>
        </is>
      </c>
      <c r="F13" s="8" t="inlineStr">
        <is>
          <t>满足ART验收门和任务自身依赖后可并行；正式资源按领域完成后立即分批导入。</t>
        </is>
      </c>
    </row>
    <row r="14">
      <c r="A14" s="8" t="inlineStr">
        <is>
          <t>技术美术与特效</t>
        </is>
      </c>
      <c r="B14" s="8">
        <f>COUNTIF(开发任务!$D$2:$D$174,A14)</f>
        <v/>
      </c>
      <c r="C14" s="8">
        <f>SUMIF(开发任务!$D$2:$D$174,A14,开发任务!$K$2:$K$174)</f>
        <v/>
      </c>
      <c r="D14" s="8">
        <f>SUMIF(开发任务!$D$2:$D$174,A14,开发任务!$L$2:$L$174)</f>
        <v/>
      </c>
      <c r="E14" s="8" t="inlineStr">
        <is>
          <t>ART-VFX / 原阶段组</t>
        </is>
      </c>
      <c r="F14" s="8" t="inlineStr">
        <is>
          <t>满足ART验收门和任务自身依赖后可并行；正式资源按领域完成后立即分批导入。</t>
        </is>
      </c>
    </row>
    <row r="15">
      <c r="A15" s="8" t="inlineStr">
        <is>
          <t>UI视觉与图标</t>
        </is>
      </c>
      <c r="B15" s="8">
        <f>COUNTIF(开发任务!$D$2:$D$174,A15)</f>
        <v/>
      </c>
      <c r="C15" s="8">
        <f>SUMIF(开发任务!$D$2:$D$174,A15,开发任务!$K$2:$K$174)</f>
        <v/>
      </c>
      <c r="D15" s="8">
        <f>SUMIF(开发任务!$D$2:$D$174,A15,开发任务!$L$2:$L$174)</f>
        <v/>
      </c>
      <c r="E15" s="8" t="inlineStr">
        <is>
          <t>ART-RND / ART-UI</t>
        </is>
      </c>
      <c r="F15" s="8" t="inlineStr">
        <is>
          <t>满足ART验收门和任务自身依赖后可并行；正式资源按领域完成后立即分批导入。</t>
        </is>
      </c>
    </row>
    <row r="16" ht="25.5" customHeight="1" s="1">
      <c r="A16" s="8" t="inlineStr">
        <is>
          <t>美术集成与验收</t>
        </is>
      </c>
      <c r="B16" s="8">
        <f>COUNTIF(开发任务!$D$2:$D$174,A16)</f>
        <v/>
      </c>
      <c r="C16" s="8">
        <f>SUMIF(开发任务!$D$2:$D$174,A16,开发任务!$K$2:$K$174)</f>
        <v/>
      </c>
      <c r="D16" s="8">
        <f>SUMIF(开发任务!$D$2:$D$174,A16,开发任务!$L$2:$L$174)</f>
        <v/>
      </c>
      <c r="E16" s="8" t="inlineStr">
        <is>
          <t>ART-G0 / ART-G1 / ART-INT / ART-G2</t>
        </is>
      </c>
      <c r="F16" s="8" t="inlineStr">
        <is>
          <t>满足ART验收门和任务自身依赖后可并行；正式资源按领域完成后立即分批导入。</t>
        </is>
      </c>
    </row>
    <row r="17">
      <c r="A17" s="8" t="inlineStr">
        <is>
          <t>灰盒与预制体</t>
        </is>
      </c>
      <c r="B17" s="8">
        <f>COUNTIF(开发任务!$D$2:$D$174,A17)</f>
        <v/>
      </c>
      <c r="C17" s="8">
        <f>SUMIF(开发任务!$D$2:$D$174,A17,开发任务!$K$2:$K$174)</f>
        <v/>
      </c>
      <c r="D17" s="8">
        <f>SUMIF(开发任务!$D$2:$D$174,A17,开发任务!$L$2:$L$174)</f>
        <v/>
      </c>
      <c r="E17" s="8" t="inlineStr">
        <is>
          <t>原阶段组</t>
        </is>
      </c>
      <c r="F17" s="8" t="inlineStr">
        <is>
          <t>满足ART验收门和任务自身依赖后可并行；正式资源按领域完成后立即分批导入。</t>
        </is>
      </c>
    </row>
    <row r="18">
      <c r="A18" s="9" t="inlineStr">
        <is>
          <t>美术与声音资源</t>
        </is>
      </c>
      <c r="B18" s="9">
        <f>COUNTIF(开发任务!$D$2:$D$174,A18)</f>
        <v/>
      </c>
      <c r="C18" s="9">
        <f>SUMIF(开发任务!$D$2:$D$174,A18,开发任务!$K$2:$K$174)</f>
        <v/>
      </c>
      <c r="D18" s="9">
        <f>SUMIF(开发任务!$D$2:$D$174,A18,开发任务!$L$2:$L$174)</f>
        <v/>
      </c>
      <c r="E18" s="9" t="inlineStr">
        <is>
          <t>原阶段组</t>
        </is>
      </c>
      <c r="F18" s="9" t="inlineStr">
        <is>
          <t>满足ART验收门和任务自身依赖后可并行；正式资源按领域完成后立即分批导入。</t>
        </is>
      </c>
    </row>
  </sheetData>
  <mergeCells count="2">
    <mergeCell ref="A2:F2"/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2026-08-17T08:08:00Z</dcterms:created>
  <dcterms:modified xmlns:dcterms="http://purl.org/dc/terms/" xmlns:xsi="http://www.w3.org/2001/XMLSchema-instance" xsi:type="dcterms:W3CDTF">2026-09-28T11:45:05Z</dcterms:modified>
  <cp:lastModifiedBy>啦啦啦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B67331107359406DBC3D9DD7CEAF05D0_12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